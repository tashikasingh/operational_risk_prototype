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cident_Data" sheetId="1" state="visible" r:id="rId3"/>
    <sheet name="Data_Dictionary" sheetId="2" state="visible" r:id="rId4"/>
    <sheet name="Category_Summary" sheetId="3" state="visible" r:id="rId5"/>
  </sheets>
  <definedNames>
    <definedName function="false" hidden="true" localSheetId="0" name="_xlnm._FilterDatabase" vbProcedure="false">Incident_Data!$A$1:$I$201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<sst xmlns="http://schemas.openxmlformats.org/spreadsheetml/2006/main" count="1471" uniqueCount="450">
  <si>
    <t xml:space="preserve">Incident_ID</t>
  </si>
  <si>
    <t xml:space="preserve">Date_Reported</t>
  </si>
  <si>
    <t xml:space="preserve">Description</t>
  </si>
  <si>
    <t xml:space="preserve">Category</t>
  </si>
  <si>
    <t xml:space="preserve">Severity</t>
  </si>
  <si>
    <t xml:space="preserve">Department</t>
  </si>
  <si>
    <t xml:space="preserve">Financial_Impact_GBP</t>
  </si>
  <si>
    <t xml:space="preserve">Detection_Method</t>
  </si>
  <si>
    <t xml:space="preserve">Status</t>
  </si>
  <si>
    <t xml:space="preserve">OPR-0001</t>
  </si>
  <si>
    <t xml:space="preserve">Fire suppression system triggered at Corporate Banking branch causing equipment damage.</t>
  </si>
  <si>
    <t xml:space="preserve">Damage to Physical Assets</t>
  </si>
  <si>
    <t xml:space="preserve">High</t>
  </si>
  <si>
    <t xml:space="preserve">Retail Banking</t>
  </si>
  <si>
    <t xml:space="preserve">Site Inspection</t>
  </si>
  <si>
    <t xml:space="preserve">Closed</t>
  </si>
  <si>
    <t xml:space="preserve">OPR-0002</t>
  </si>
  <si>
    <t xml:space="preserve">Phishing attack resulted in unauthorised access to 282 customer accounts.</t>
  </si>
  <si>
    <t xml:space="preserve">External Fraud</t>
  </si>
  <si>
    <t xml:space="preserve">Medium</t>
  </si>
  <si>
    <t xml:space="preserve">Corporate Banking</t>
  </si>
  <si>
    <t xml:space="preserve">Customer Complaint</t>
  </si>
  <si>
    <t xml:space="preserve">Resolved</t>
  </si>
  <si>
    <t xml:space="preserve">OPR-0003</t>
  </si>
  <si>
    <t xml:space="preserve">Flooding at IT Operations data centre caused disruption to on-site server infrastructure.</t>
  </si>
  <si>
    <t xml:space="preserve">Low</t>
  </si>
  <si>
    <t xml:space="preserve">Compliance</t>
  </si>
  <si>
    <t xml:space="preserve">Open</t>
  </si>
  <si>
    <t xml:space="preserve">OPR-0004</t>
  </si>
  <si>
    <t xml:space="preserve">Customer data used for marketing without valid consent under GDPR for 368 clients.</t>
  </si>
  <si>
    <t xml:space="preserve">Clients, Products &amp; Business Practices</t>
  </si>
  <si>
    <t xml:space="preserve">Treasury</t>
  </si>
  <si>
    <t xml:space="preserve">Internal Audit</t>
  </si>
  <si>
    <t xml:space="preserve">Escalated</t>
  </si>
  <si>
    <t xml:space="preserve">OPR-0005</t>
  </si>
  <si>
    <t xml:space="preserve">Data breach exposed personal information of 190 customers via online banking portal vulnerability.</t>
  </si>
  <si>
    <t xml:space="preserve">Cybersecurity Incident</t>
  </si>
  <si>
    <t xml:space="preserve">Risk Management</t>
  </si>
  <si>
    <t xml:space="preserve">Penetration Test</t>
  </si>
  <si>
    <t xml:space="preserve">OPR-0006</t>
  </si>
  <si>
    <t xml:space="preserve">Employee falsified expense claims totalling £4000 over a three-month period.</t>
  </si>
  <si>
    <t xml:space="preserve">Internal Fraud</t>
  </si>
  <si>
    <t xml:space="preserve">OPR-0007</t>
  </si>
  <si>
    <t xml:space="preserve">Regulatory review identified inadequate suitability assessment for credit cards sales.</t>
  </si>
  <si>
    <t xml:space="preserve">Critical</t>
  </si>
  <si>
    <t xml:space="preserve">Human Resources</t>
  </si>
  <si>
    <t xml:space="preserve">Compliance Monitoring</t>
  </si>
  <si>
    <t xml:space="preserve">OPR-0008</t>
  </si>
  <si>
    <t xml:space="preserve">Third-party cloud provider outage disrupted access to online banking portal platform.</t>
  </si>
  <si>
    <t xml:space="preserve">Business Disruption &amp; System Failures</t>
  </si>
  <si>
    <t xml:space="preserve">System Monitoring Alert</t>
  </si>
  <si>
    <t xml:space="preserve">OPR-0009</t>
  </si>
  <si>
    <t xml:space="preserve">Vandalism reported at ATM located at Treasury branch, machine offline for repair.</t>
  </si>
  <si>
    <t xml:space="preserve">OPR-0010</t>
  </si>
  <si>
    <t xml:space="preserve">Health and safety inspection identified non-compliance in IT Operations office premises.</t>
  </si>
  <si>
    <t xml:space="preserve">Employment Practices &amp; Workplace Safety</t>
  </si>
  <si>
    <t xml:space="preserve">Health &amp; Safety Audit</t>
  </si>
  <si>
    <t xml:space="preserve">OPR-0011</t>
  </si>
  <si>
    <t xml:space="preserve">Third party used stolen identity documents to open 391 fraudulent accounts.</t>
  </si>
  <si>
    <t xml:space="preserve">OPR-0012</t>
  </si>
  <si>
    <t xml:space="preserve">Staff member sustained injury during Treasury office relocation activities.</t>
  </si>
  <si>
    <t xml:space="preserve">HR Report</t>
  </si>
  <si>
    <t xml:space="preserve">Under Investigation</t>
  </si>
  <si>
    <t xml:space="preserve">OPR-0013</t>
  </si>
  <si>
    <t xml:space="preserve">Formal complaint raised regarding workplace harassment in Risk Management division.</t>
  </si>
  <si>
    <t xml:space="preserve">Wealth Management</t>
  </si>
  <si>
    <t xml:space="preserve">Direct Complaint</t>
  </si>
  <si>
    <t xml:space="preserve">OPR-0014</t>
  </si>
  <si>
    <t xml:space="preserve">Settlement failure occurred due to mismatched trade instructions in payment gateway.</t>
  </si>
  <si>
    <t xml:space="preserve">Execution, Delivery &amp; Process Management</t>
  </si>
  <si>
    <t xml:space="preserve">OPR-0015</t>
  </si>
  <si>
    <t xml:space="preserve">Breach of consumer duty obligations identified in investment bonds disclosure documents.</t>
  </si>
  <si>
    <t xml:space="preserve">OPR-0016</t>
  </si>
  <si>
    <t xml:space="preserve">Phishing attack resulted in unauthorised access to 454 customer accounts.</t>
  </si>
  <si>
    <t xml:space="preserve">Payments</t>
  </si>
  <si>
    <t xml:space="preserve">OPR-0017</t>
  </si>
  <si>
    <t xml:space="preserve">Ransomware attack encrypted files on CRM system, disrupting Risk Management operations.</t>
  </si>
  <si>
    <t xml:space="preserve">OPR-0018</t>
  </si>
  <si>
    <t xml:space="preserve">Staff member in Customer Services approved fictitious credit memos to bypass internal controls.</t>
  </si>
  <si>
    <t xml:space="preserve">OPR-0019</t>
  </si>
  <si>
    <t xml:space="preserve">Incorrect interest rate applied to 41 customer accounts due to configuration error.</t>
  </si>
  <si>
    <t xml:space="preserve">Automated Control Alert</t>
  </si>
  <si>
    <t xml:space="preserve">OPR-0020</t>
  </si>
  <si>
    <t xml:space="preserve">Flooding at Payments data centre caused disruption to on-site server infrastructure.</t>
  </si>
  <si>
    <t xml:space="preserve">Customer Services</t>
  </si>
  <si>
    <t xml:space="preserve">OPR-0021</t>
  </si>
  <si>
    <t xml:space="preserve">Settlement failure occurred due to mismatched trade instructions in CRM system.</t>
  </si>
  <si>
    <t xml:space="preserve">Quality Assurance Review</t>
  </si>
  <si>
    <t xml:space="preserve">OPR-0022</t>
  </si>
  <si>
    <t xml:space="preserve">Regulatory review identified inadequate suitability assessment for investment bonds sales.</t>
  </si>
  <si>
    <t xml:space="preserve">OPR-0023</t>
  </si>
  <si>
    <t xml:space="preserve">Core banking system outage disrupted mobile banking app services for 45 minutes.</t>
  </si>
  <si>
    <t xml:space="preserve">OPR-0024</t>
  </si>
  <si>
    <t xml:space="preserve">Employee grievance filed alleging discriminatory practice within Treasury team.</t>
  </si>
  <si>
    <t xml:space="preserve">OPR-0025</t>
  </si>
  <si>
    <t xml:space="preserve">Mis-selling complaint upheld regarding mortgage products sold to retail customers.</t>
  </si>
  <si>
    <t xml:space="preserve">OPR-0026</t>
  </si>
  <si>
    <t xml:space="preserve">Ransomware attack encrypted files on CRM system, disrupting Payments operations.</t>
  </si>
  <si>
    <t xml:space="preserve">OPR-0027</t>
  </si>
  <si>
    <t xml:space="preserve">Flooding at Human Resources data centre caused disruption to on-site server infrastructure.</t>
  </si>
  <si>
    <t xml:space="preserve">Insurance Claim</t>
  </si>
  <si>
    <t xml:space="preserve">OPR-0028</t>
  </si>
  <si>
    <t xml:space="preserve">Mis-selling complaint upheld regarding investment bonds sold to retail customers.</t>
  </si>
  <si>
    <t xml:space="preserve">OPR-0029</t>
  </si>
  <si>
    <t xml:space="preserve">Core banking system outage disrupted online banking portal services for 1 business day.</t>
  </si>
  <si>
    <t xml:space="preserve">OPR-0030</t>
  </si>
  <si>
    <t xml:space="preserve">Employee grievance filed alleging discriminatory practice within Wealth Management team.</t>
  </si>
  <si>
    <t xml:space="preserve">OPR-0031</t>
  </si>
  <si>
    <t xml:space="preserve">Employee a relationship manager manipulated loan origination system records to conceal unauthorised fund transfers.</t>
  </si>
  <si>
    <t xml:space="preserve">IT Operations</t>
  </si>
  <si>
    <t xml:space="preserve">OPR-0032</t>
  </si>
  <si>
    <t xml:space="preserve">Network connectivity failure at Treasury data centre affected 362 branches.</t>
  </si>
  <si>
    <t xml:space="preserve">IT Operations Report</t>
  </si>
  <si>
    <t xml:space="preserve">OPR-0033</t>
  </si>
  <si>
    <t xml:space="preserve">Health and safety inspection identified non-compliance in Wealth Management office premises.</t>
  </si>
  <si>
    <t xml:space="preserve">OPR-0034</t>
  </si>
  <si>
    <t xml:space="preserve">Formal complaint raised regarding workplace harassment in Treasury division.</t>
  </si>
  <si>
    <t xml:space="preserve">OPR-0035</t>
  </si>
  <si>
    <t xml:space="preserve">Flooding at Customer Services data centre caused disruption to on-site server infrastructure.</t>
  </si>
  <si>
    <t xml:space="preserve">Facilities Management</t>
  </si>
  <si>
    <t xml:space="preserve">OPR-0036</t>
  </si>
  <si>
    <t xml:space="preserve">OPR-0037</t>
  </si>
  <si>
    <t xml:space="preserve">Duplicate payment processed due to failure in online banking portal validation controls.</t>
  </si>
  <si>
    <t xml:space="preserve">OPR-0038</t>
  </si>
  <si>
    <t xml:space="preserve">OPR-0039</t>
  </si>
  <si>
    <t xml:space="preserve">Core banking system outage disrupted CRM system services for 45 minutes.</t>
  </si>
  <si>
    <t xml:space="preserve">Automated Health Check</t>
  </si>
  <si>
    <t xml:space="preserve">OPR-0040</t>
  </si>
  <si>
    <t xml:space="preserve">Customer data used for marketing without valid consent under GDPR for 398 clients.</t>
  </si>
  <si>
    <t xml:space="preserve">OPR-0041</t>
  </si>
  <si>
    <t xml:space="preserve">Vandalism reported at ATM located at Corporate Banking branch, machine offline for repair.</t>
  </si>
  <si>
    <t xml:space="preserve">Security System Alert</t>
  </si>
  <si>
    <t xml:space="preserve">OPR-0042</t>
  </si>
  <si>
    <t xml:space="preserve">Employee grievance filed alleging discriminatory practice within Risk Management team.</t>
  </si>
  <si>
    <t xml:space="preserve">OPR-0043</t>
  </si>
  <si>
    <t xml:space="preserve">Staff member sustained injury during Retail Banking office relocation activities.</t>
  </si>
  <si>
    <t xml:space="preserve">Employee Survey</t>
  </si>
  <si>
    <t xml:space="preserve">OPR-0044</t>
  </si>
  <si>
    <t xml:space="preserve">Software deployment error caused internal reporting system downtime lasting 1 business day.</t>
  </si>
  <si>
    <t xml:space="preserve">OPR-0045</t>
  </si>
  <si>
    <t xml:space="preserve">Power outage caused by storm damage disrupted operations at Human Resources office.</t>
  </si>
  <si>
    <t xml:space="preserve">OPR-0046</t>
  </si>
  <si>
    <t xml:space="preserve">Employee grievance filed alleging discriminatory practice within Corporate Banking team.</t>
  </si>
  <si>
    <t xml:space="preserve">OPR-0047</t>
  </si>
  <si>
    <t xml:space="preserve">Customer data used for marketing without valid consent under GDPR for 410 clients.</t>
  </si>
  <si>
    <t xml:space="preserve">Regulatory Inspection</t>
  </si>
  <si>
    <t xml:space="preserve">OPR-0048</t>
  </si>
  <si>
    <t xml:space="preserve">Third-party cloud provider outage disrupted access to internal reporting system platform.</t>
  </si>
  <si>
    <t xml:space="preserve">OPR-0049</t>
  </si>
  <si>
    <t xml:space="preserve">Ransomware attack encrypted files on mobile banking app, disrupting Risk Management operations.</t>
  </si>
  <si>
    <t xml:space="preserve">OPR-0050</t>
  </si>
  <si>
    <t xml:space="preserve">OPR-0051</t>
  </si>
  <si>
    <t xml:space="preserve">Distributed denial-of-service attack disrupted payment gateway availability for 6 hours.</t>
  </si>
  <si>
    <t xml:space="preserve">Customer Notification</t>
  </si>
  <si>
    <t xml:space="preserve">OPR-0052</t>
  </si>
  <si>
    <t xml:space="preserve">Flooding at Compliance data centre caused disruption to on-site server infrastructure.</t>
  </si>
  <si>
    <t xml:space="preserve">OPR-0053</t>
  </si>
  <si>
    <t xml:space="preserve">Third party used stolen identity documents to open 303 fraudulent accounts.</t>
  </si>
  <si>
    <t xml:space="preserve">Law Enforcement Referral</t>
  </si>
  <si>
    <t xml:space="preserve">OPR-0054</t>
  </si>
  <si>
    <t xml:space="preserve">Manual data entry error in Human Resources led to incorrect processing of 322 transactions.</t>
  </si>
  <si>
    <t xml:space="preserve">OPR-0055</t>
  </si>
  <si>
    <t xml:space="preserve">OPR-0056</t>
  </si>
  <si>
    <t xml:space="preserve">Staff member sustained injury during IT Operations office relocation activities.</t>
  </si>
  <si>
    <t xml:space="preserve">OPR-0057</t>
  </si>
  <si>
    <t xml:space="preserve">Business email compromise led to fraudulent payment of £71,000 to external account.</t>
  </si>
  <si>
    <t xml:space="preserve">OPR-0058</t>
  </si>
  <si>
    <t xml:space="preserve">Mis-selling complaint upheld regarding credit cards sold to retail customers.</t>
  </si>
  <si>
    <t xml:space="preserve">OPR-0059</t>
  </si>
  <si>
    <t xml:space="preserve">Vandalism reported at ATM located at Human Resources branch, machine offline for repair.</t>
  </si>
  <si>
    <t xml:space="preserve">OPR-0060</t>
  </si>
  <si>
    <t xml:space="preserve">Breach of consumer duty obligations identified in personal loans disclosure documents.</t>
  </si>
  <si>
    <t xml:space="preserve">OPR-0061</t>
  </si>
  <si>
    <t xml:space="preserve">Database corruption in mobile banking app led to temporary loss of transaction processing.</t>
  </si>
  <si>
    <t xml:space="preserve">OPR-0062</t>
  </si>
  <si>
    <t xml:space="preserve">Network connectivity failure at Wealth Management data centre affected 426 branches.</t>
  </si>
  <si>
    <t xml:space="preserve">OPR-0063</t>
  </si>
  <si>
    <t xml:space="preserve">Ransomware attack encrypted files on loan origination system, disrupting Compliance operations.</t>
  </si>
  <si>
    <t xml:space="preserve">Threat Intelligence Feed</t>
  </si>
  <si>
    <t xml:space="preserve">OPR-0064</t>
  </si>
  <si>
    <t xml:space="preserve">Distributed denial-of-service attack disrupted loan origination system availability for 6 hours.</t>
  </si>
  <si>
    <t xml:space="preserve">SOC Monitoring</t>
  </si>
  <si>
    <t xml:space="preserve">OPR-0065</t>
  </si>
  <si>
    <t xml:space="preserve">Unauthorised access detected on loan origination system following credential stuffing attack.</t>
  </si>
  <si>
    <t xml:space="preserve">OPR-0066</t>
  </si>
  <si>
    <t xml:space="preserve">Trader in Human Resources exceeded authorised limits and concealed losses via mismarked positions.</t>
  </si>
  <si>
    <t xml:space="preserve">Whistleblower Report</t>
  </si>
  <si>
    <t xml:space="preserve">OPR-0067</t>
  </si>
  <si>
    <t xml:space="preserve">OPR-0068</t>
  </si>
  <si>
    <t xml:space="preserve">Flooding at Wealth Management data centre caused disruption to on-site server infrastructure.</t>
  </si>
  <si>
    <t xml:space="preserve">OPR-0069</t>
  </si>
  <si>
    <t xml:space="preserve">Misconfigured cloud storage bucket exposed sensitive Payments data publicly.</t>
  </si>
  <si>
    <t xml:space="preserve">OPR-0070</t>
  </si>
  <si>
    <t xml:space="preserve">Late reporting to regulator caused by breakdown in Payments reconciliation process.</t>
  </si>
  <si>
    <t xml:space="preserve">Reconciliation Process</t>
  </si>
  <si>
    <t xml:space="preserve">OPR-0071</t>
  </si>
  <si>
    <t xml:space="preserve">Customer data used for marketing without valid consent under GDPR for 61 clients.</t>
  </si>
  <si>
    <t xml:space="preserve">OPR-0072</t>
  </si>
  <si>
    <t xml:space="preserve">OPR-0073</t>
  </si>
  <si>
    <t xml:space="preserve">Late reporting to regulator caused by breakdown in Treasury reconciliation process.</t>
  </si>
  <si>
    <t xml:space="preserve">OPR-0074</t>
  </si>
  <si>
    <t xml:space="preserve">Core banking system outage disrupted online banking portal services for 30 minutes.</t>
  </si>
  <si>
    <t xml:space="preserve">OPR-0075</t>
  </si>
  <si>
    <t xml:space="preserve">Settlement failure occurred due to mismatched trade instructions in core banking platform.</t>
  </si>
  <si>
    <t xml:space="preserve">OPR-0076</t>
  </si>
  <si>
    <t xml:space="preserve">Employee falsified expense claims totalling £12000 over a six-month period.</t>
  </si>
  <si>
    <t xml:space="preserve">Management Review</t>
  </si>
  <si>
    <t xml:space="preserve">OPR-0077</t>
  </si>
  <si>
    <t xml:space="preserve">Late reporting to regulator caused by breakdown in Compliance reconciliation process.</t>
  </si>
  <si>
    <t xml:space="preserve">OPR-0078</t>
  </si>
  <si>
    <t xml:space="preserve">OPR-0079</t>
  </si>
  <si>
    <t xml:space="preserve">Third party used stolen identity documents to open 333 fraudulent accounts.</t>
  </si>
  <si>
    <t xml:space="preserve">Fraud Monitoring System</t>
  </si>
  <si>
    <t xml:space="preserve">OPR-0080</t>
  </si>
  <si>
    <t xml:space="preserve">Customer data used for marketing without valid consent under GDPR for 458 clients.</t>
  </si>
  <si>
    <t xml:space="preserve">OPR-0081</t>
  </si>
  <si>
    <t xml:space="preserve">Breach of consumer duty obligations identified in insurance add-ons disclosure documents.</t>
  </si>
  <si>
    <t xml:space="preserve">OPR-0082</t>
  </si>
  <si>
    <t xml:space="preserve">Business email compromise led to fraudulent payment of £48000 to external account.</t>
  </si>
  <si>
    <t xml:space="preserve">OPR-0083</t>
  </si>
  <si>
    <t xml:space="preserve">OPR-0084</t>
  </si>
  <si>
    <t xml:space="preserve">Trader in Payments exceeded authorised limits and concealed losses via mismarked positions.</t>
  </si>
  <si>
    <t xml:space="preserve">OPR-0085</t>
  </si>
  <si>
    <t xml:space="preserve">Trader in Retail Banking exceeded authorised limits and concealed losses via mismarked positions.</t>
  </si>
  <si>
    <t xml:space="preserve">OPR-0086</t>
  </si>
  <si>
    <t xml:space="preserve">Customer data used for marketing without valid consent under GDPR for 444 clients.</t>
  </si>
  <si>
    <t xml:space="preserve">OPR-0087</t>
  </si>
  <si>
    <t xml:space="preserve">Settlement failure occurred due to mismatched trade instructions in trading platform.</t>
  </si>
  <si>
    <t xml:space="preserve">OPR-0088</t>
  </si>
  <si>
    <t xml:space="preserve">Phishing attack resulted in unauthorised access to 223 customer accounts.</t>
  </si>
  <si>
    <t xml:space="preserve">OPR-0089</t>
  </si>
  <si>
    <t xml:space="preserve">Staff member in Payments approved fictitious credit memos to bypass internal controls.</t>
  </si>
  <si>
    <t xml:space="preserve">OPR-0090</t>
  </si>
  <si>
    <t xml:space="preserve">Employee an operations officer manipulated core banking platform records to conceal unauthorised fund transfers.</t>
  </si>
  <si>
    <t xml:space="preserve">OPR-0091</t>
  </si>
  <si>
    <t xml:space="preserve">Flooding at Corporate Banking data centre caused disruption to on-site server infrastructure.</t>
  </si>
  <si>
    <t xml:space="preserve">OPR-0092</t>
  </si>
  <si>
    <t xml:space="preserve">Third-party cloud provider outage disrupted access to core banking platform platform.</t>
  </si>
  <si>
    <t xml:space="preserve">OPR-0093</t>
  </si>
  <si>
    <t xml:space="preserve">Database corruption in payment gateway led to temporary loss of transaction processing.</t>
  </si>
  <si>
    <t xml:space="preserve">OPR-0094</t>
  </si>
  <si>
    <t xml:space="preserve">Vandalism reported at ATM located at Payments branch, machine offline for repair.</t>
  </si>
  <si>
    <t xml:space="preserve">OPR-0095</t>
  </si>
  <si>
    <t xml:space="preserve">Incorrect interest rate applied to 224 customer accounts due to configuration error.</t>
  </si>
  <si>
    <t xml:space="preserve">OPR-0096</t>
  </si>
  <si>
    <t xml:space="preserve">OPR-0097</t>
  </si>
  <si>
    <t xml:space="preserve">OPR-0098</t>
  </si>
  <si>
    <t xml:space="preserve">Manual data entry error in Payments led to incorrect processing of 67 transactions.</t>
  </si>
  <si>
    <t xml:space="preserve">OPR-0099</t>
  </si>
  <si>
    <t xml:space="preserve">Card-not-present fraud detected across 164 transactions totalling £643,000.</t>
  </si>
  <si>
    <t xml:space="preserve">OPR-0100</t>
  </si>
  <si>
    <t xml:space="preserve">OPR-0101</t>
  </si>
  <si>
    <t xml:space="preserve">Mis-selling complaint upheld regarding personal loans sold to retail customers.</t>
  </si>
  <si>
    <t xml:space="preserve">OPR-0102</t>
  </si>
  <si>
    <t xml:space="preserve">Regulatory review identified inadequate suitability assessment for personal loans sales.</t>
  </si>
  <si>
    <t xml:space="preserve">OPR-0103</t>
  </si>
  <si>
    <t xml:space="preserve">Incorrect interest rate applied to 402 customer accounts due to configuration error.</t>
  </si>
  <si>
    <t xml:space="preserve">OPR-0104</t>
  </si>
  <si>
    <t xml:space="preserve">Duplicate payment processed due to failure in core banking platform validation controls.</t>
  </si>
  <si>
    <t xml:space="preserve">OPR-0105</t>
  </si>
  <si>
    <t xml:space="preserve">Formal complaint raised regarding workplace harassment in IT Operations division.</t>
  </si>
  <si>
    <t xml:space="preserve">OPR-0106</t>
  </si>
  <si>
    <t xml:space="preserve">OPR-0107</t>
  </si>
  <si>
    <t xml:space="preserve">OPR-0108</t>
  </si>
  <si>
    <t xml:space="preserve">Unauthorised transfer of £843,000 initiated by Corporate Banking employee using stolen credentials.</t>
  </si>
  <si>
    <t xml:space="preserve">OPR-0109</t>
  </si>
  <si>
    <t xml:space="preserve">Core banking system outage disrupted loan origination system services for 6 hours.</t>
  </si>
  <si>
    <t xml:space="preserve">OPR-0110</t>
  </si>
  <si>
    <t xml:space="preserve">Unauthorised access detected on online banking portal following credential stuffing attack.</t>
  </si>
  <si>
    <t xml:space="preserve">OPR-0111</t>
  </si>
  <si>
    <t xml:space="preserve">Data breach exposed personal information of 393 customers via CRM system vulnerability.</t>
  </si>
  <si>
    <t xml:space="preserve">OPR-0112</t>
  </si>
  <si>
    <t xml:space="preserve">Network connectivity failure at Corporate Banking data centre affected 95 branches.</t>
  </si>
  <si>
    <t xml:space="preserve">OPR-0113</t>
  </si>
  <si>
    <t xml:space="preserve">OPR-0114</t>
  </si>
  <si>
    <t xml:space="preserve">OPR-0115</t>
  </si>
  <si>
    <t xml:space="preserve">Duplicate payment processed due to failure in CRM system validation controls.</t>
  </si>
  <si>
    <t xml:space="preserve">OPR-0116</t>
  </si>
  <si>
    <t xml:space="preserve">Manual data entry error in Treasury led to incorrect processing of 237 transactions.</t>
  </si>
  <si>
    <t xml:space="preserve">OPR-0117</t>
  </si>
  <si>
    <t xml:space="preserve">Business email compromise led to fraudulent payment of £500 to external account.</t>
  </si>
  <si>
    <t xml:space="preserve">Transaction Monitoring</t>
  </si>
  <si>
    <t xml:space="preserve">OPR-0118</t>
  </si>
  <si>
    <t xml:space="preserve">Core banking system outage disrupted payment gateway services for 6 hours.</t>
  </si>
  <si>
    <t xml:space="preserve">OPR-0119</t>
  </si>
  <si>
    <t xml:space="preserve">OPR-0120</t>
  </si>
  <si>
    <t xml:space="preserve">Late reporting to regulator caused by breakdown in Customer Services reconciliation process.</t>
  </si>
  <si>
    <t xml:space="preserve">OPR-0121</t>
  </si>
  <si>
    <t xml:space="preserve">OPR-0122</t>
  </si>
  <si>
    <t xml:space="preserve">OPR-0123</t>
  </si>
  <si>
    <t xml:space="preserve">OPR-0124</t>
  </si>
  <si>
    <t xml:space="preserve">Incorrect interest rate applied to 412 customer accounts due to configuration error.</t>
  </si>
  <si>
    <t xml:space="preserve">OPR-0125</t>
  </si>
  <si>
    <t xml:space="preserve">Phishing attack resulted in unauthorised access to 457 customer accounts.</t>
  </si>
  <si>
    <t xml:space="preserve">OPR-0126</t>
  </si>
  <si>
    <t xml:space="preserve">Trader in Customer Services exceeded authorised limits and concealed losses via mismarked positions.</t>
  </si>
  <si>
    <t xml:space="preserve">OPR-0127</t>
  </si>
  <si>
    <t xml:space="preserve">OPR-0128</t>
  </si>
  <si>
    <t xml:space="preserve">Formal complaint raised regarding workplace harassment in Wealth Management division.</t>
  </si>
  <si>
    <t xml:space="preserve">OPR-0129</t>
  </si>
  <si>
    <t xml:space="preserve">OPR-0130</t>
  </si>
  <si>
    <t xml:space="preserve">Distributed denial-of-service attack disrupted loan origination system availability for 2 hours.</t>
  </si>
  <si>
    <t xml:space="preserve">OPR-0131</t>
  </si>
  <si>
    <t xml:space="preserve">OPR-0132</t>
  </si>
  <si>
    <t xml:space="preserve">Database corruption in loan origination system led to temporary loss of transaction processing.</t>
  </si>
  <si>
    <t xml:space="preserve">OPR-0133</t>
  </si>
  <si>
    <t xml:space="preserve">OPR-0134</t>
  </si>
  <si>
    <t xml:space="preserve">Skimming device found on ATM network resulting in £171,000 in fraudulent withdrawals.</t>
  </si>
  <si>
    <t xml:space="preserve">OPR-0135</t>
  </si>
  <si>
    <t xml:space="preserve">Fire suppression system triggered at Customer Services branch causing equipment damage.</t>
  </si>
  <si>
    <t xml:space="preserve">OPR-0136</t>
  </si>
  <si>
    <t xml:space="preserve">Network connectivity failure at Customer Services data centre affected 278 branches.</t>
  </si>
  <si>
    <t xml:space="preserve">OPR-0137</t>
  </si>
  <si>
    <t xml:space="preserve">OPR-0138</t>
  </si>
  <si>
    <t xml:space="preserve">OPR-0139</t>
  </si>
  <si>
    <t xml:space="preserve">Card-not-present fraud detected across 83 transactions totalling £800.</t>
  </si>
  <si>
    <t xml:space="preserve">OPR-0140</t>
  </si>
  <si>
    <t xml:space="preserve">Staff member sustained injury during Payments office relocation activities.</t>
  </si>
  <si>
    <t xml:space="preserve">OPR-0141</t>
  </si>
  <si>
    <t xml:space="preserve">Staff member in IT Operations approved fictitious client onboarding files to bypass internal controls.</t>
  </si>
  <si>
    <t xml:space="preserve">OPR-0142</t>
  </si>
  <si>
    <t xml:space="preserve">Fire suppression system triggered at Risk Management branch causing equipment damage.</t>
  </si>
  <si>
    <t xml:space="preserve">OPR-0143</t>
  </si>
  <si>
    <t xml:space="preserve">OPR-0144</t>
  </si>
  <si>
    <t xml:space="preserve">Software deployment error caused CRM system downtime lasting 45 minutes.</t>
  </si>
  <si>
    <t xml:space="preserve">OPR-0145</t>
  </si>
  <si>
    <t xml:space="preserve">Database corruption in core banking platform led to temporary loss of transaction processing.</t>
  </si>
  <si>
    <t xml:space="preserve">OPR-0146</t>
  </si>
  <si>
    <t xml:space="preserve">OPR-0147</t>
  </si>
  <si>
    <t xml:space="preserve">OPR-0148</t>
  </si>
  <si>
    <t xml:space="preserve">OPR-0149</t>
  </si>
  <si>
    <t xml:space="preserve">Card-not-present fraud detected across 223 transactions totalling £90000.</t>
  </si>
  <si>
    <t xml:space="preserve">OPR-0150</t>
  </si>
  <si>
    <t xml:space="preserve">Incorrect interest rate applied to 182 customer accounts due to configuration error.</t>
  </si>
  <si>
    <t xml:space="preserve">OPR-0151</t>
  </si>
  <si>
    <t xml:space="preserve">OPR-0152</t>
  </si>
  <si>
    <t xml:space="preserve">Business email compromise led to fraudulent payment of £800 to external account.</t>
  </si>
  <si>
    <t xml:space="preserve">OPR-0153</t>
  </si>
  <si>
    <t xml:space="preserve">Misconfigured cloud storage bucket exposed sensitive Risk Management data publicly.</t>
  </si>
  <si>
    <t xml:space="preserve">OPR-0154</t>
  </si>
  <si>
    <t xml:space="preserve">Duplicate payment processed due to failure in payment gateway validation controls.</t>
  </si>
  <si>
    <t xml:space="preserve">OPR-0155</t>
  </si>
  <si>
    <t xml:space="preserve">OPR-0156</t>
  </si>
  <si>
    <t xml:space="preserve">Core banking system outage disrupted core banking platform services for 30 minutes.</t>
  </si>
  <si>
    <t xml:space="preserve">OPR-0157</t>
  </si>
  <si>
    <t xml:space="preserve">Regulatory review identified inadequate suitability assessment for mortgage products sales.</t>
  </si>
  <si>
    <t xml:space="preserve">OPR-0158</t>
  </si>
  <si>
    <t xml:space="preserve">OPR-0159</t>
  </si>
  <si>
    <t xml:space="preserve">OPR-0160</t>
  </si>
  <si>
    <t xml:space="preserve">Business email compromise led to fraudulent payment of £90000 to external account.</t>
  </si>
  <si>
    <t xml:space="preserve">OPR-0161</t>
  </si>
  <si>
    <t xml:space="preserve">Employee grievance filed alleging discriminatory practice within Customer Services team.</t>
  </si>
  <si>
    <t xml:space="preserve">OPR-0162</t>
  </si>
  <si>
    <t xml:space="preserve">Customer data used for marketing without valid consent under GDPR for 143 clients.</t>
  </si>
  <si>
    <t xml:space="preserve">OPR-0163</t>
  </si>
  <si>
    <t xml:space="preserve">OPR-0164</t>
  </si>
  <si>
    <t xml:space="preserve">OPR-0165</t>
  </si>
  <si>
    <t xml:space="preserve">Settlement failure occurred due to mismatched trade instructions in online banking portal.</t>
  </si>
  <si>
    <t xml:space="preserve">OPR-0166</t>
  </si>
  <si>
    <t xml:space="preserve">Late reporting to regulator caused by breakdown in Risk Management reconciliation process.</t>
  </si>
  <si>
    <t xml:space="preserve">OPR-0167</t>
  </si>
  <si>
    <t xml:space="preserve">OPR-0168</t>
  </si>
  <si>
    <t xml:space="preserve">Power outage caused by storm damage disrupted operations at Risk Management office.</t>
  </si>
  <si>
    <t xml:space="preserve">OPR-0169</t>
  </si>
  <si>
    <t xml:space="preserve">Ransomware attack encrypted files on online banking portal, disrupting Treasury operations.</t>
  </si>
  <si>
    <t xml:space="preserve">OPR-0170</t>
  </si>
  <si>
    <t xml:space="preserve">Late reporting to regulator caused by breakdown in Human Resources reconciliation process.</t>
  </si>
  <si>
    <t xml:space="preserve">OPR-0171</t>
  </si>
  <si>
    <t xml:space="preserve">Unauthorised access detected on payment gateway following credential stuffing attack.</t>
  </si>
  <si>
    <t xml:space="preserve">OPR-0172</t>
  </si>
  <si>
    <t xml:space="preserve">OPR-0173</t>
  </si>
  <si>
    <t xml:space="preserve">OPR-0174</t>
  </si>
  <si>
    <t xml:space="preserve">Third-party cloud provider outage disrupted access to CRM system platform.</t>
  </si>
  <si>
    <t xml:space="preserve">OPR-0175</t>
  </si>
  <si>
    <t xml:space="preserve">OPR-0176</t>
  </si>
  <si>
    <t xml:space="preserve">Core banking system outage disrupted CRM system services for 2 hours.</t>
  </si>
  <si>
    <t xml:space="preserve">OPR-0177</t>
  </si>
  <si>
    <t xml:space="preserve">OPR-0178</t>
  </si>
  <si>
    <t xml:space="preserve">OPR-0179</t>
  </si>
  <si>
    <t xml:space="preserve">Power outage caused by storm damage disrupted operations at Payments office.</t>
  </si>
  <si>
    <t xml:space="preserve">OPR-0180</t>
  </si>
  <si>
    <t xml:space="preserve">Customer data used for marketing without valid consent under GDPR for 217 clients.</t>
  </si>
  <si>
    <t xml:space="preserve">OPR-0181</t>
  </si>
  <si>
    <t xml:space="preserve">Fire suppression system triggered at Payments branch causing equipment damage.</t>
  </si>
  <si>
    <t xml:space="preserve">OPR-0182</t>
  </si>
  <si>
    <t xml:space="preserve">Duplicate payment processed due to failure in loan origination system validation controls.</t>
  </si>
  <si>
    <t xml:space="preserve">OPR-0183</t>
  </si>
  <si>
    <t xml:space="preserve">Employee a senior analyst manipulated loan origination system records to conceal unauthorised fund transfers.</t>
  </si>
  <si>
    <t xml:space="preserve">OPR-0184</t>
  </si>
  <si>
    <t xml:space="preserve">Core banking system outage disrupted loan origination system services for 2 hours.</t>
  </si>
  <si>
    <t xml:space="preserve">OPR-0185</t>
  </si>
  <si>
    <t xml:space="preserve">OPR-0186</t>
  </si>
  <si>
    <t xml:space="preserve">Staff member sustained injury during Wealth Management office relocation activities.</t>
  </si>
  <si>
    <t xml:space="preserve">OPR-0187</t>
  </si>
  <si>
    <t xml:space="preserve">OPR-0188</t>
  </si>
  <si>
    <t xml:space="preserve">Ransomware attack encrypted files on mobile banking app, disrupting IT Operations operations.</t>
  </si>
  <si>
    <t xml:space="preserve">OPR-0189</t>
  </si>
  <si>
    <t xml:space="preserve">Breach of consumer duty obligations identified in mortgage products disclosure documents.</t>
  </si>
  <si>
    <t xml:space="preserve">OPR-0190</t>
  </si>
  <si>
    <t xml:space="preserve">Business email compromise led to fraudulent payment of £452,000 to external account.</t>
  </si>
  <si>
    <t xml:space="preserve">OPR-0191</t>
  </si>
  <si>
    <t xml:space="preserve">OPR-0192</t>
  </si>
  <si>
    <t xml:space="preserve">Distributed denial-of-service attack disrupted payment gateway availability for 30 minutes.</t>
  </si>
  <si>
    <t xml:space="preserve">OPR-0193</t>
  </si>
  <si>
    <t xml:space="preserve">Card-not-present fraud detected across 110 transactions totalling £90000.</t>
  </si>
  <si>
    <t xml:space="preserve">OPR-0194</t>
  </si>
  <si>
    <t xml:space="preserve">Staff member sustained injury during Corporate Banking office relocation activities.</t>
  </si>
  <si>
    <t xml:space="preserve">OPR-0195</t>
  </si>
  <si>
    <t xml:space="preserve">Formal complaint raised regarding workplace harassment in Customer Services division.</t>
  </si>
  <si>
    <t xml:space="preserve">OPR-0196</t>
  </si>
  <si>
    <t xml:space="preserve">OPR-0197</t>
  </si>
  <si>
    <t xml:space="preserve">OPR-0198</t>
  </si>
  <si>
    <t xml:space="preserve">Network connectivity failure at Payments data centre affected 226 branches.</t>
  </si>
  <si>
    <t xml:space="preserve">OPR-0199</t>
  </si>
  <si>
    <t xml:space="preserve">Skimming device found on ATM network resulting in £576,000 in fraudulent withdrawals.</t>
  </si>
  <si>
    <t xml:space="preserve">OPR-0200</t>
  </si>
  <si>
    <t xml:space="preserve">Data Dictionary – Synthetic Operational Risk Incident Dataset</t>
  </si>
  <si>
    <t xml:space="preserve">Field</t>
  </si>
  <si>
    <t xml:space="preserve">Type</t>
  </si>
  <si>
    <t xml:space="preserve">Example</t>
  </si>
  <si>
    <t xml:space="preserve">Text</t>
  </si>
  <si>
    <t xml:space="preserve">Unique identifier for each incident record</t>
  </si>
  <si>
    <t xml:space="preserve">Date</t>
  </si>
  <si>
    <t xml:space="preserve">Date the incident was reported/logged</t>
  </si>
  <si>
    <t xml:space="preserve">14/03/2025</t>
  </si>
  <si>
    <t xml:space="preserve">Text (free text)</t>
  </si>
  <si>
    <t xml:space="preserve">Narrative description used as input for NLP classification</t>
  </si>
  <si>
    <t xml:space="preserve">"Phishing attack resulted in unauthorised access to 42 customer accounts."</t>
  </si>
  <si>
    <t xml:space="preserve">Categorical</t>
  </si>
  <si>
    <t xml:space="preserve">Basel II operational risk event type (target label)</t>
  </si>
  <si>
    <t xml:space="preserve">Categorical (ordinal)</t>
  </si>
  <si>
    <t xml:space="preserve">Impact severity: Low / Medium / High / Critical</t>
  </si>
  <si>
    <t xml:space="preserve">Business unit where incident originated</t>
  </si>
  <si>
    <t xml:space="preserve">Numeric</t>
  </si>
  <si>
    <t xml:space="preserve">Estimated financial impact in GBP</t>
  </si>
  <si>
    <t xml:space="preserve">125000</t>
  </si>
  <si>
    <t xml:space="preserve">How the incident was identified</t>
  </si>
  <si>
    <t xml:space="preserve">Current lifecycle status of the incident</t>
  </si>
  <si>
    <t xml:space="preserve">Notes on data generation methodology:</t>
  </si>
  <si>
    <t xml:space="preserve">1. Categories follow the Basel II operational risk event-type taxonomy, extended with a Cybersecurity Incident category to reflect current literature gaps.</t>
  </si>
  <si>
    <t xml:space="preserve">2. Descriptions are generated from templated sentence structures with randomised entities (department, system, amount, etc.) to provide realistic linguistic variety for NLP model training.</t>
  </si>
  <si>
    <t xml:space="preserve">3. Severity distributions per category are weighted to loosely reflect real-world skew reported in public risk literature (e.g. process/execution errors are frequent but lower severity; cyber incidents are less frequent but higher severity).</t>
  </si>
  <si>
    <t xml:space="preserve">4. Financial impact is generated from severity-linked ranges, not derived from real institutional data.</t>
  </si>
  <si>
    <t xml:space="preserve">5. This dataset is entirely synthetic and contains no real institution, customer, or employee data. It is intended for prototype development and model testing only, in line with confidentiality and ethical constraints discussed with the supervisor.</t>
  </si>
  <si>
    <t xml:space="preserve">Summary Statistics by Risk Category</t>
  </si>
  <si>
    <t xml:space="preserve">Incident_Count</t>
  </si>
  <si>
    <t xml:space="preserve">Avg_Financial_Impact_GBP</t>
  </si>
  <si>
    <t xml:space="preserve">High_or_Critical_Count</t>
  </si>
  <si>
    <t xml:space="preserve">% of Total Incidents</t>
  </si>
  <si>
    <t xml:space="preserve">TOTAL</t>
  </si>
</sst>
</file>

<file path=xl/styles.xml><?xml version="1.0" encoding="utf-8"?>
<styleSheet xmlns="http://schemas.openxmlformats.org/spreadsheetml/2006/main">
  <numFmts count="4">
    <numFmt numFmtId="164" formatCode="General"/>
    <numFmt numFmtId="165" formatCode="dd/mm/yyyy"/>
    <numFmt numFmtId="166" formatCode="\£#,##0"/>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color rgb="FF1F4E78"/>
      <name val="Arial"/>
      <family val="0"/>
      <charset val="1"/>
    </font>
    <font>
      <b val="true"/>
      <sz val="10"/>
      <name val="Arial"/>
      <family val="0"/>
      <charset val="1"/>
    </font>
    <font>
      <i val="true"/>
      <sz val="10"/>
      <name val="Arial"/>
      <family val="0"/>
      <charset val="1"/>
    </font>
    <font>
      <b val="true"/>
      <sz val="11"/>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D9B3"/>
        <bgColor rgb="FFFFEB9C"/>
      </patternFill>
    </fill>
    <fill>
      <patternFill patternType="solid">
        <fgColor rgb="FFFFEB9C"/>
        <bgColor rgb="FFFFD9B3"/>
      </patternFill>
    </fill>
    <fill>
      <patternFill patternType="solid">
        <fgColor rgb="FFC6EFCE"/>
        <bgColor rgb="FFD9D9D9"/>
      </patternFill>
    </fill>
    <fill>
      <patternFill patternType="solid">
        <fgColor rgb="FFFFC7CE"/>
        <bgColor rgb="FFFFD9B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6" fontId="5" fillId="0" borderId="1" xfId="0" applyFont="true" applyBorder="true" applyAlignment="true" applyProtection="false">
      <alignment horizontal="general" vertical="center" textRotation="0" wrapText="false" indent="0" shrinkToFit="false"/>
      <protection locked="true" hidden="false"/>
    </xf>
    <xf numFmtId="164" fontId="5" fillId="4" borderId="1" xfId="0" applyFont="true" applyBorder="true" applyAlignment="true" applyProtection="false">
      <alignment horizontal="general" vertical="center" textRotation="0" wrapText="false" indent="0" shrinkToFit="false"/>
      <protection locked="true" hidden="false"/>
    </xf>
    <xf numFmtId="164" fontId="5" fillId="5" borderId="1" xfId="0" applyFont="true" applyBorder="true" applyAlignment="true" applyProtection="false">
      <alignment horizontal="general" vertical="center" textRotation="0" wrapText="false" indent="0" shrinkToFit="false"/>
      <protection locked="true" hidden="false"/>
    </xf>
    <xf numFmtId="164" fontId="5" fillId="6" borderId="1"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D9B3"/>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D9B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55"/>
    <col collapsed="false" customWidth="true" hidden="false" outlineLevel="0" max="4" min="4" style="0" width="32"/>
    <col collapsed="false" customWidth="true" hidden="false" outlineLevel="0" max="5" min="5" style="0" width="11"/>
    <col collapsed="false" customWidth="true" hidden="false" outlineLevel="0" max="6" min="6" style="0" width="20"/>
    <col collapsed="false" customWidth="true" hidden="false" outlineLevel="0" max="7" min="7" style="0" width="18"/>
    <col collapsed="false" customWidth="true" hidden="false" outlineLevel="0" max="8" min="8" style="0" width="22"/>
    <col collapsed="false" customWidth="true" hidden="false" outlineLevel="0" max="9" min="9" style="0" width="16"/>
  </cols>
  <sheetData>
    <row r="1" customFormat="false" ht="21.75" hidden="false" customHeight="true" outlineLevel="0" collapsed="false">
      <c r="A1" s="1" t="s">
        <v>0</v>
      </c>
      <c r="B1" s="1" t="s">
        <v>1</v>
      </c>
      <c r="C1" s="1" t="s">
        <v>2</v>
      </c>
      <c r="D1" s="1" t="s">
        <v>3</v>
      </c>
      <c r="E1" s="1" t="s">
        <v>4</v>
      </c>
      <c r="F1" s="1" t="s">
        <v>5</v>
      </c>
      <c r="G1" s="1" t="s">
        <v>6</v>
      </c>
      <c r="H1" s="1" t="s">
        <v>7</v>
      </c>
      <c r="I1" s="1" t="s">
        <v>8</v>
      </c>
    </row>
    <row r="2" customFormat="false" ht="23.85" hidden="false" customHeight="false" outlineLevel="0" collapsed="false">
      <c r="A2" s="2" t="s">
        <v>9</v>
      </c>
      <c r="B2" s="3" t="n">
        <v>45301</v>
      </c>
      <c r="C2" s="4" t="s">
        <v>10</v>
      </c>
      <c r="D2" s="2" t="s">
        <v>11</v>
      </c>
      <c r="E2" s="5" t="s">
        <v>12</v>
      </c>
      <c r="F2" s="2" t="s">
        <v>13</v>
      </c>
      <c r="G2" s="6" t="n">
        <v>414693</v>
      </c>
      <c r="H2" s="2" t="s">
        <v>14</v>
      </c>
      <c r="I2" s="2" t="s">
        <v>15</v>
      </c>
    </row>
    <row r="3" customFormat="false" ht="23.85" hidden="false" customHeight="false" outlineLevel="0" collapsed="false">
      <c r="A3" s="2" t="s">
        <v>16</v>
      </c>
      <c r="B3" s="3" t="n">
        <v>45322</v>
      </c>
      <c r="C3" s="4" t="s">
        <v>17</v>
      </c>
      <c r="D3" s="2" t="s">
        <v>18</v>
      </c>
      <c r="E3" s="7" t="s">
        <v>19</v>
      </c>
      <c r="F3" s="2" t="s">
        <v>20</v>
      </c>
      <c r="G3" s="6" t="n">
        <v>19328</v>
      </c>
      <c r="H3" s="2" t="s">
        <v>21</v>
      </c>
      <c r="I3" s="2" t="s">
        <v>22</v>
      </c>
    </row>
    <row r="4" customFormat="false" ht="23.85" hidden="false" customHeight="false" outlineLevel="0" collapsed="false">
      <c r="A4" s="2" t="s">
        <v>23</v>
      </c>
      <c r="B4" s="3" t="n">
        <v>45324</v>
      </c>
      <c r="C4" s="4" t="s">
        <v>24</v>
      </c>
      <c r="D4" s="2" t="s">
        <v>11</v>
      </c>
      <c r="E4" s="8" t="s">
        <v>25</v>
      </c>
      <c r="F4" s="2" t="s">
        <v>26</v>
      </c>
      <c r="G4" s="6" t="n">
        <v>3286</v>
      </c>
      <c r="H4" s="2" t="s">
        <v>14</v>
      </c>
      <c r="I4" s="2" t="s">
        <v>27</v>
      </c>
    </row>
    <row r="5" customFormat="false" ht="23.85" hidden="false" customHeight="false" outlineLevel="0" collapsed="false">
      <c r="A5" s="2" t="s">
        <v>28</v>
      </c>
      <c r="B5" s="3" t="n">
        <v>45332</v>
      </c>
      <c r="C5" s="4" t="s">
        <v>29</v>
      </c>
      <c r="D5" s="2" t="s">
        <v>30</v>
      </c>
      <c r="E5" s="5" t="s">
        <v>12</v>
      </c>
      <c r="F5" s="2" t="s">
        <v>31</v>
      </c>
      <c r="G5" s="6" t="n">
        <v>420997</v>
      </c>
      <c r="H5" s="2" t="s">
        <v>32</v>
      </c>
      <c r="I5" s="2" t="s">
        <v>33</v>
      </c>
    </row>
    <row r="6" customFormat="false" ht="23.85" hidden="false" customHeight="false" outlineLevel="0" collapsed="false">
      <c r="A6" s="2" t="s">
        <v>34</v>
      </c>
      <c r="B6" s="3" t="n">
        <v>45344</v>
      </c>
      <c r="C6" s="4" t="s">
        <v>35</v>
      </c>
      <c r="D6" s="2" t="s">
        <v>36</v>
      </c>
      <c r="E6" s="8" t="s">
        <v>25</v>
      </c>
      <c r="F6" s="2" t="s">
        <v>37</v>
      </c>
      <c r="G6" s="6" t="n">
        <v>4602</v>
      </c>
      <c r="H6" s="2" t="s">
        <v>38</v>
      </c>
      <c r="I6" s="2" t="s">
        <v>22</v>
      </c>
    </row>
    <row r="7" customFormat="false" ht="23.85" hidden="false" customHeight="false" outlineLevel="0" collapsed="false">
      <c r="A7" s="2" t="s">
        <v>39</v>
      </c>
      <c r="B7" s="3" t="n">
        <v>45354</v>
      </c>
      <c r="C7" s="4" t="s">
        <v>40</v>
      </c>
      <c r="D7" s="2" t="s">
        <v>41</v>
      </c>
      <c r="E7" s="5" t="s">
        <v>12</v>
      </c>
      <c r="F7" s="2" t="s">
        <v>26</v>
      </c>
      <c r="G7" s="6" t="n">
        <v>79971</v>
      </c>
      <c r="H7" s="2" t="s">
        <v>32</v>
      </c>
      <c r="I7" s="2" t="s">
        <v>22</v>
      </c>
    </row>
    <row r="8" customFormat="false" ht="23.85" hidden="false" customHeight="false" outlineLevel="0" collapsed="false">
      <c r="A8" s="2" t="s">
        <v>42</v>
      </c>
      <c r="B8" s="3" t="n">
        <v>45361</v>
      </c>
      <c r="C8" s="4" t="s">
        <v>43</v>
      </c>
      <c r="D8" s="2" t="s">
        <v>30</v>
      </c>
      <c r="E8" s="9" t="s">
        <v>44</v>
      </c>
      <c r="F8" s="2" t="s">
        <v>45</v>
      </c>
      <c r="G8" s="6" t="n">
        <v>4755773</v>
      </c>
      <c r="H8" s="2" t="s">
        <v>46</v>
      </c>
      <c r="I8" s="2" t="s">
        <v>22</v>
      </c>
    </row>
    <row r="9" customFormat="false" ht="23.85" hidden="false" customHeight="false" outlineLevel="0" collapsed="false">
      <c r="A9" s="2" t="s">
        <v>47</v>
      </c>
      <c r="B9" s="3" t="n">
        <v>45364</v>
      </c>
      <c r="C9" s="4" t="s">
        <v>48</v>
      </c>
      <c r="D9" s="2" t="s">
        <v>49</v>
      </c>
      <c r="E9" s="7" t="s">
        <v>19</v>
      </c>
      <c r="F9" s="2" t="s">
        <v>13</v>
      </c>
      <c r="G9" s="6" t="n">
        <v>20003</v>
      </c>
      <c r="H9" s="2" t="s">
        <v>50</v>
      </c>
      <c r="I9" s="2" t="s">
        <v>15</v>
      </c>
    </row>
    <row r="10" customFormat="false" ht="23.85" hidden="false" customHeight="false" outlineLevel="0" collapsed="false">
      <c r="A10" s="2" t="s">
        <v>51</v>
      </c>
      <c r="B10" s="3" t="n">
        <v>45365</v>
      </c>
      <c r="C10" s="4" t="s">
        <v>52</v>
      </c>
      <c r="D10" s="2" t="s">
        <v>11</v>
      </c>
      <c r="E10" s="5" t="s">
        <v>12</v>
      </c>
      <c r="F10" s="2" t="s">
        <v>13</v>
      </c>
      <c r="G10" s="6" t="n">
        <v>136991</v>
      </c>
      <c r="H10" s="2" t="s">
        <v>14</v>
      </c>
      <c r="I10" s="2" t="s">
        <v>22</v>
      </c>
    </row>
    <row r="11" customFormat="false" ht="23.85" hidden="false" customHeight="false" outlineLevel="0" collapsed="false">
      <c r="A11" s="2" t="s">
        <v>53</v>
      </c>
      <c r="B11" s="3" t="n">
        <v>45369</v>
      </c>
      <c r="C11" s="4" t="s">
        <v>54</v>
      </c>
      <c r="D11" s="2" t="s">
        <v>55</v>
      </c>
      <c r="E11" s="7" t="s">
        <v>19</v>
      </c>
      <c r="F11" s="2" t="s">
        <v>20</v>
      </c>
      <c r="G11" s="6" t="n">
        <v>31401</v>
      </c>
      <c r="H11" s="2" t="s">
        <v>56</v>
      </c>
      <c r="I11" s="2" t="s">
        <v>22</v>
      </c>
    </row>
    <row r="12" customFormat="false" ht="23.85" hidden="false" customHeight="false" outlineLevel="0" collapsed="false">
      <c r="A12" s="2" t="s">
        <v>57</v>
      </c>
      <c r="B12" s="3" t="n">
        <v>45373</v>
      </c>
      <c r="C12" s="4" t="s">
        <v>58</v>
      </c>
      <c r="D12" s="2" t="s">
        <v>18</v>
      </c>
      <c r="E12" s="5" t="s">
        <v>12</v>
      </c>
      <c r="F12" s="2" t="s">
        <v>13</v>
      </c>
      <c r="G12" s="6" t="n">
        <v>184177</v>
      </c>
      <c r="H12" s="2" t="s">
        <v>21</v>
      </c>
      <c r="I12" s="2" t="s">
        <v>15</v>
      </c>
    </row>
    <row r="13" customFormat="false" ht="23.85" hidden="false" customHeight="false" outlineLevel="0" collapsed="false">
      <c r="A13" s="2" t="s">
        <v>59</v>
      </c>
      <c r="B13" s="3" t="n">
        <v>45375</v>
      </c>
      <c r="C13" s="4" t="s">
        <v>60</v>
      </c>
      <c r="D13" s="2" t="s">
        <v>55</v>
      </c>
      <c r="E13" s="7" t="s">
        <v>19</v>
      </c>
      <c r="F13" s="2" t="s">
        <v>26</v>
      </c>
      <c r="G13" s="6" t="n">
        <v>19715</v>
      </c>
      <c r="H13" s="2" t="s">
        <v>61</v>
      </c>
      <c r="I13" s="2" t="s">
        <v>62</v>
      </c>
    </row>
    <row r="14" customFormat="false" ht="23.85" hidden="false" customHeight="false" outlineLevel="0" collapsed="false">
      <c r="A14" s="2" t="s">
        <v>63</v>
      </c>
      <c r="B14" s="3" t="n">
        <v>45378</v>
      </c>
      <c r="C14" s="4" t="s">
        <v>64</v>
      </c>
      <c r="D14" s="2" t="s">
        <v>55</v>
      </c>
      <c r="E14" s="7" t="s">
        <v>19</v>
      </c>
      <c r="F14" s="2" t="s">
        <v>65</v>
      </c>
      <c r="G14" s="6" t="n">
        <v>41629</v>
      </c>
      <c r="H14" s="2" t="s">
        <v>66</v>
      </c>
      <c r="I14" s="2" t="s">
        <v>22</v>
      </c>
    </row>
    <row r="15" customFormat="false" ht="23.85" hidden="false" customHeight="false" outlineLevel="0" collapsed="false">
      <c r="A15" s="2" t="s">
        <v>67</v>
      </c>
      <c r="B15" s="3" t="n">
        <v>45390</v>
      </c>
      <c r="C15" s="4" t="s">
        <v>68</v>
      </c>
      <c r="D15" s="2" t="s">
        <v>69</v>
      </c>
      <c r="E15" s="7" t="s">
        <v>19</v>
      </c>
      <c r="F15" s="2" t="s">
        <v>13</v>
      </c>
      <c r="G15" s="6" t="n">
        <v>30749</v>
      </c>
      <c r="H15" s="2" t="s">
        <v>32</v>
      </c>
      <c r="I15" s="2" t="s">
        <v>62</v>
      </c>
    </row>
    <row r="16" customFormat="false" ht="23.85" hidden="false" customHeight="false" outlineLevel="0" collapsed="false">
      <c r="A16" s="2" t="s">
        <v>70</v>
      </c>
      <c r="B16" s="3" t="n">
        <v>45395</v>
      </c>
      <c r="C16" s="4" t="s">
        <v>71</v>
      </c>
      <c r="D16" s="2" t="s">
        <v>30</v>
      </c>
      <c r="E16" s="7" t="s">
        <v>19</v>
      </c>
      <c r="F16" s="2" t="s">
        <v>37</v>
      </c>
      <c r="G16" s="6" t="n">
        <v>7200</v>
      </c>
      <c r="H16" s="2" t="s">
        <v>32</v>
      </c>
      <c r="I16" s="2" t="s">
        <v>22</v>
      </c>
    </row>
    <row r="17" customFormat="false" ht="23.85" hidden="false" customHeight="false" outlineLevel="0" collapsed="false">
      <c r="A17" s="2" t="s">
        <v>72</v>
      </c>
      <c r="B17" s="3" t="n">
        <v>45395</v>
      </c>
      <c r="C17" s="4" t="s">
        <v>73</v>
      </c>
      <c r="D17" s="2" t="s">
        <v>18</v>
      </c>
      <c r="E17" s="7" t="s">
        <v>19</v>
      </c>
      <c r="F17" s="2" t="s">
        <v>74</v>
      </c>
      <c r="G17" s="6" t="n">
        <v>42883</v>
      </c>
      <c r="H17" s="2" t="s">
        <v>21</v>
      </c>
      <c r="I17" s="2" t="s">
        <v>62</v>
      </c>
    </row>
    <row r="18" customFormat="false" ht="23.85" hidden="false" customHeight="false" outlineLevel="0" collapsed="false">
      <c r="A18" s="2" t="s">
        <v>75</v>
      </c>
      <c r="B18" s="3" t="n">
        <v>45408</v>
      </c>
      <c r="C18" s="4" t="s">
        <v>76</v>
      </c>
      <c r="D18" s="2" t="s">
        <v>36</v>
      </c>
      <c r="E18" s="9" t="s">
        <v>44</v>
      </c>
      <c r="F18" s="2" t="s">
        <v>74</v>
      </c>
      <c r="G18" s="6" t="n">
        <v>1485377</v>
      </c>
      <c r="H18" s="2" t="s">
        <v>38</v>
      </c>
      <c r="I18" s="2" t="s">
        <v>22</v>
      </c>
    </row>
    <row r="19" customFormat="false" ht="23.85" hidden="false" customHeight="false" outlineLevel="0" collapsed="false">
      <c r="A19" s="2" t="s">
        <v>77</v>
      </c>
      <c r="B19" s="3" t="n">
        <v>45425</v>
      </c>
      <c r="C19" s="4" t="s">
        <v>78</v>
      </c>
      <c r="D19" s="2" t="s">
        <v>41</v>
      </c>
      <c r="E19" s="9" t="s">
        <v>44</v>
      </c>
      <c r="F19" s="2" t="s">
        <v>26</v>
      </c>
      <c r="G19" s="6" t="n">
        <v>4819966</v>
      </c>
      <c r="H19" s="2" t="s">
        <v>32</v>
      </c>
      <c r="I19" s="2" t="s">
        <v>62</v>
      </c>
    </row>
    <row r="20" customFormat="false" ht="23.85" hidden="false" customHeight="false" outlineLevel="0" collapsed="false">
      <c r="A20" s="2" t="s">
        <v>79</v>
      </c>
      <c r="B20" s="3" t="n">
        <v>45425</v>
      </c>
      <c r="C20" s="4" t="s">
        <v>80</v>
      </c>
      <c r="D20" s="2" t="s">
        <v>69</v>
      </c>
      <c r="E20" s="5" t="s">
        <v>12</v>
      </c>
      <c r="F20" s="2" t="s">
        <v>31</v>
      </c>
      <c r="G20" s="6" t="n">
        <v>202922</v>
      </c>
      <c r="H20" s="2" t="s">
        <v>81</v>
      </c>
      <c r="I20" s="2" t="s">
        <v>15</v>
      </c>
    </row>
    <row r="21" customFormat="false" ht="23.85" hidden="false" customHeight="false" outlineLevel="0" collapsed="false">
      <c r="A21" s="2" t="s">
        <v>82</v>
      </c>
      <c r="B21" s="3" t="n">
        <v>45427</v>
      </c>
      <c r="C21" s="4" t="s">
        <v>83</v>
      </c>
      <c r="D21" s="2" t="s">
        <v>11</v>
      </c>
      <c r="E21" s="9" t="s">
        <v>44</v>
      </c>
      <c r="F21" s="2" t="s">
        <v>84</v>
      </c>
      <c r="G21" s="6" t="n">
        <v>4030459</v>
      </c>
      <c r="H21" s="2" t="s">
        <v>14</v>
      </c>
      <c r="I21" s="2" t="s">
        <v>22</v>
      </c>
    </row>
    <row r="22" customFormat="false" ht="23.85" hidden="false" customHeight="false" outlineLevel="0" collapsed="false">
      <c r="A22" s="2" t="s">
        <v>85</v>
      </c>
      <c r="B22" s="3" t="n">
        <v>45432</v>
      </c>
      <c r="C22" s="4" t="s">
        <v>86</v>
      </c>
      <c r="D22" s="2" t="s">
        <v>69</v>
      </c>
      <c r="E22" s="5" t="s">
        <v>12</v>
      </c>
      <c r="F22" s="2" t="s">
        <v>84</v>
      </c>
      <c r="G22" s="6" t="n">
        <v>455516</v>
      </c>
      <c r="H22" s="2" t="s">
        <v>87</v>
      </c>
      <c r="I22" s="2" t="s">
        <v>22</v>
      </c>
    </row>
    <row r="23" customFormat="false" ht="23.85" hidden="false" customHeight="false" outlineLevel="0" collapsed="false">
      <c r="A23" s="2" t="s">
        <v>88</v>
      </c>
      <c r="B23" s="3" t="n">
        <v>45434</v>
      </c>
      <c r="C23" s="4" t="s">
        <v>89</v>
      </c>
      <c r="D23" s="2" t="s">
        <v>30</v>
      </c>
      <c r="E23" s="5" t="s">
        <v>12</v>
      </c>
      <c r="F23" s="2" t="s">
        <v>65</v>
      </c>
      <c r="G23" s="6" t="n">
        <v>176888</v>
      </c>
      <c r="H23" s="2" t="s">
        <v>21</v>
      </c>
      <c r="I23" s="2" t="s">
        <v>22</v>
      </c>
    </row>
    <row r="24" customFormat="false" ht="23.85" hidden="false" customHeight="false" outlineLevel="0" collapsed="false">
      <c r="A24" s="2" t="s">
        <v>90</v>
      </c>
      <c r="B24" s="3" t="n">
        <v>45437</v>
      </c>
      <c r="C24" s="4" t="s">
        <v>91</v>
      </c>
      <c r="D24" s="2" t="s">
        <v>49</v>
      </c>
      <c r="E24" s="9" t="s">
        <v>44</v>
      </c>
      <c r="F24" s="2" t="s">
        <v>65</v>
      </c>
      <c r="G24" s="6" t="n">
        <v>1280364</v>
      </c>
      <c r="H24" s="2" t="s">
        <v>50</v>
      </c>
      <c r="I24" s="2" t="s">
        <v>15</v>
      </c>
    </row>
    <row r="25" customFormat="false" ht="23.85" hidden="false" customHeight="false" outlineLevel="0" collapsed="false">
      <c r="A25" s="2" t="s">
        <v>92</v>
      </c>
      <c r="B25" s="3" t="n">
        <v>45443</v>
      </c>
      <c r="C25" s="4" t="s">
        <v>93</v>
      </c>
      <c r="D25" s="2" t="s">
        <v>55</v>
      </c>
      <c r="E25" s="7" t="s">
        <v>19</v>
      </c>
      <c r="F25" s="2" t="s">
        <v>13</v>
      </c>
      <c r="G25" s="6" t="n">
        <v>11985</v>
      </c>
      <c r="H25" s="2" t="s">
        <v>66</v>
      </c>
      <c r="I25" s="2" t="s">
        <v>62</v>
      </c>
    </row>
    <row r="26" customFormat="false" ht="23.85" hidden="false" customHeight="false" outlineLevel="0" collapsed="false">
      <c r="A26" s="2" t="s">
        <v>94</v>
      </c>
      <c r="B26" s="3" t="n">
        <v>45443</v>
      </c>
      <c r="C26" s="4" t="s">
        <v>95</v>
      </c>
      <c r="D26" s="2" t="s">
        <v>30</v>
      </c>
      <c r="E26" s="8" t="s">
        <v>25</v>
      </c>
      <c r="F26" s="2" t="s">
        <v>37</v>
      </c>
      <c r="G26" s="6" t="n">
        <v>1160</v>
      </c>
      <c r="H26" s="2" t="s">
        <v>46</v>
      </c>
      <c r="I26" s="2" t="s">
        <v>15</v>
      </c>
    </row>
    <row r="27" customFormat="false" ht="23.85" hidden="false" customHeight="false" outlineLevel="0" collapsed="false">
      <c r="A27" s="2" t="s">
        <v>96</v>
      </c>
      <c r="B27" s="3" t="n">
        <v>45455</v>
      </c>
      <c r="C27" s="4" t="s">
        <v>97</v>
      </c>
      <c r="D27" s="2" t="s">
        <v>36</v>
      </c>
      <c r="E27" s="9" t="s">
        <v>44</v>
      </c>
      <c r="F27" s="2" t="s">
        <v>26</v>
      </c>
      <c r="G27" s="6" t="n">
        <v>3123242</v>
      </c>
      <c r="H27" s="2" t="s">
        <v>38</v>
      </c>
      <c r="I27" s="2" t="s">
        <v>15</v>
      </c>
    </row>
    <row r="28" customFormat="false" ht="23.85" hidden="false" customHeight="false" outlineLevel="0" collapsed="false">
      <c r="A28" s="2" t="s">
        <v>98</v>
      </c>
      <c r="B28" s="3" t="n">
        <v>45461</v>
      </c>
      <c r="C28" s="4" t="s">
        <v>99</v>
      </c>
      <c r="D28" s="2" t="s">
        <v>11</v>
      </c>
      <c r="E28" s="5" t="s">
        <v>12</v>
      </c>
      <c r="F28" s="2" t="s">
        <v>74</v>
      </c>
      <c r="G28" s="6" t="n">
        <v>72907</v>
      </c>
      <c r="H28" s="2" t="s">
        <v>100</v>
      </c>
      <c r="I28" s="2" t="s">
        <v>22</v>
      </c>
    </row>
    <row r="29" customFormat="false" ht="23.85" hidden="false" customHeight="false" outlineLevel="0" collapsed="false">
      <c r="A29" s="2" t="s">
        <v>101</v>
      </c>
      <c r="B29" s="3" t="n">
        <v>45463</v>
      </c>
      <c r="C29" s="4" t="s">
        <v>102</v>
      </c>
      <c r="D29" s="2" t="s">
        <v>30</v>
      </c>
      <c r="E29" s="5" t="s">
        <v>12</v>
      </c>
      <c r="F29" s="2" t="s">
        <v>37</v>
      </c>
      <c r="G29" s="6" t="n">
        <v>368372</v>
      </c>
      <c r="H29" s="2" t="s">
        <v>46</v>
      </c>
      <c r="I29" s="2" t="s">
        <v>15</v>
      </c>
    </row>
    <row r="30" customFormat="false" ht="23.85" hidden="false" customHeight="false" outlineLevel="0" collapsed="false">
      <c r="A30" s="2" t="s">
        <v>103</v>
      </c>
      <c r="B30" s="3" t="n">
        <v>45470</v>
      </c>
      <c r="C30" s="4" t="s">
        <v>104</v>
      </c>
      <c r="D30" s="2" t="s">
        <v>49</v>
      </c>
      <c r="E30" s="5" t="s">
        <v>12</v>
      </c>
      <c r="F30" s="2" t="s">
        <v>45</v>
      </c>
      <c r="G30" s="6" t="n">
        <v>413625</v>
      </c>
      <c r="H30" s="2" t="s">
        <v>21</v>
      </c>
      <c r="I30" s="2" t="s">
        <v>62</v>
      </c>
    </row>
    <row r="31" customFormat="false" ht="23.85" hidden="false" customHeight="false" outlineLevel="0" collapsed="false">
      <c r="A31" s="2" t="s">
        <v>105</v>
      </c>
      <c r="B31" s="3" t="n">
        <v>45471</v>
      </c>
      <c r="C31" s="4" t="s">
        <v>106</v>
      </c>
      <c r="D31" s="2" t="s">
        <v>55</v>
      </c>
      <c r="E31" s="7" t="s">
        <v>19</v>
      </c>
      <c r="F31" s="2" t="s">
        <v>31</v>
      </c>
      <c r="G31" s="6" t="n">
        <v>13661</v>
      </c>
      <c r="H31" s="2" t="s">
        <v>56</v>
      </c>
      <c r="I31" s="2" t="s">
        <v>22</v>
      </c>
    </row>
    <row r="32" customFormat="false" ht="23.85" hidden="false" customHeight="false" outlineLevel="0" collapsed="false">
      <c r="A32" s="2" t="s">
        <v>107</v>
      </c>
      <c r="B32" s="3" t="n">
        <v>45476</v>
      </c>
      <c r="C32" s="4" t="s">
        <v>108</v>
      </c>
      <c r="D32" s="2" t="s">
        <v>41</v>
      </c>
      <c r="E32" s="5" t="s">
        <v>12</v>
      </c>
      <c r="F32" s="2" t="s">
        <v>109</v>
      </c>
      <c r="G32" s="6" t="n">
        <v>141786</v>
      </c>
      <c r="H32" s="2" t="s">
        <v>32</v>
      </c>
      <c r="I32" s="2" t="s">
        <v>22</v>
      </c>
    </row>
    <row r="33" customFormat="false" ht="23.85" hidden="false" customHeight="false" outlineLevel="0" collapsed="false">
      <c r="A33" s="2" t="s">
        <v>110</v>
      </c>
      <c r="B33" s="3" t="n">
        <v>45487</v>
      </c>
      <c r="C33" s="4" t="s">
        <v>111</v>
      </c>
      <c r="D33" s="2" t="s">
        <v>49</v>
      </c>
      <c r="E33" s="8" t="s">
        <v>25</v>
      </c>
      <c r="F33" s="2" t="s">
        <v>20</v>
      </c>
      <c r="G33" s="6" t="n">
        <v>1977</v>
      </c>
      <c r="H33" s="2" t="s">
        <v>112</v>
      </c>
      <c r="I33" s="2" t="s">
        <v>22</v>
      </c>
    </row>
    <row r="34" customFormat="false" ht="23.85" hidden="false" customHeight="false" outlineLevel="0" collapsed="false">
      <c r="A34" s="2" t="s">
        <v>113</v>
      </c>
      <c r="B34" s="3" t="n">
        <v>45491</v>
      </c>
      <c r="C34" s="4" t="s">
        <v>114</v>
      </c>
      <c r="D34" s="2" t="s">
        <v>55</v>
      </c>
      <c r="E34" s="7" t="s">
        <v>19</v>
      </c>
      <c r="F34" s="2" t="s">
        <v>84</v>
      </c>
      <c r="G34" s="6" t="n">
        <v>41803</v>
      </c>
      <c r="H34" s="2" t="s">
        <v>66</v>
      </c>
      <c r="I34" s="2" t="s">
        <v>22</v>
      </c>
    </row>
    <row r="35" customFormat="false" ht="23.85" hidden="false" customHeight="false" outlineLevel="0" collapsed="false">
      <c r="A35" s="2" t="s">
        <v>115</v>
      </c>
      <c r="B35" s="3" t="n">
        <v>45506</v>
      </c>
      <c r="C35" s="4" t="s">
        <v>116</v>
      </c>
      <c r="D35" s="2" t="s">
        <v>55</v>
      </c>
      <c r="E35" s="8" t="s">
        <v>25</v>
      </c>
      <c r="F35" s="2" t="s">
        <v>31</v>
      </c>
      <c r="G35" s="6" t="n">
        <v>555</v>
      </c>
      <c r="H35" s="2" t="s">
        <v>56</v>
      </c>
      <c r="I35" s="2" t="s">
        <v>62</v>
      </c>
    </row>
    <row r="36" customFormat="false" ht="23.85" hidden="false" customHeight="false" outlineLevel="0" collapsed="false">
      <c r="A36" s="2" t="s">
        <v>117</v>
      </c>
      <c r="B36" s="3" t="n">
        <v>45523</v>
      </c>
      <c r="C36" s="4" t="s">
        <v>118</v>
      </c>
      <c r="D36" s="2" t="s">
        <v>11</v>
      </c>
      <c r="E36" s="7" t="s">
        <v>19</v>
      </c>
      <c r="F36" s="2" t="s">
        <v>65</v>
      </c>
      <c r="G36" s="6" t="n">
        <v>41978</v>
      </c>
      <c r="H36" s="2" t="s">
        <v>119</v>
      </c>
      <c r="I36" s="2" t="s">
        <v>62</v>
      </c>
    </row>
    <row r="37" customFormat="false" ht="23.85" hidden="false" customHeight="false" outlineLevel="0" collapsed="false">
      <c r="A37" s="2" t="s">
        <v>120</v>
      </c>
      <c r="B37" s="3" t="n">
        <v>45531</v>
      </c>
      <c r="C37" s="4" t="s">
        <v>78</v>
      </c>
      <c r="D37" s="2" t="s">
        <v>41</v>
      </c>
      <c r="E37" s="9" t="s">
        <v>44</v>
      </c>
      <c r="F37" s="2" t="s">
        <v>37</v>
      </c>
      <c r="G37" s="6" t="n">
        <v>3175158</v>
      </c>
      <c r="H37" s="2" t="s">
        <v>81</v>
      </c>
      <c r="I37" s="2" t="s">
        <v>62</v>
      </c>
    </row>
    <row r="38" customFormat="false" ht="23.85" hidden="false" customHeight="false" outlineLevel="0" collapsed="false">
      <c r="A38" s="2" t="s">
        <v>121</v>
      </c>
      <c r="B38" s="3" t="n">
        <v>45533</v>
      </c>
      <c r="C38" s="4" t="s">
        <v>122</v>
      </c>
      <c r="D38" s="2" t="s">
        <v>69</v>
      </c>
      <c r="E38" s="7" t="s">
        <v>19</v>
      </c>
      <c r="F38" s="2" t="s">
        <v>26</v>
      </c>
      <c r="G38" s="6" t="n">
        <v>11511</v>
      </c>
      <c r="H38" s="2" t="s">
        <v>81</v>
      </c>
      <c r="I38" s="2" t="s">
        <v>22</v>
      </c>
    </row>
    <row r="39" customFormat="false" ht="23.85" hidden="false" customHeight="false" outlineLevel="0" collapsed="false">
      <c r="A39" s="2" t="s">
        <v>123</v>
      </c>
      <c r="B39" s="3" t="n">
        <v>45538</v>
      </c>
      <c r="C39" s="4" t="s">
        <v>43</v>
      </c>
      <c r="D39" s="2" t="s">
        <v>30</v>
      </c>
      <c r="E39" s="7" t="s">
        <v>19</v>
      </c>
      <c r="F39" s="2" t="s">
        <v>37</v>
      </c>
      <c r="G39" s="6" t="n">
        <v>10161</v>
      </c>
      <c r="H39" s="2" t="s">
        <v>46</v>
      </c>
      <c r="I39" s="2" t="s">
        <v>15</v>
      </c>
    </row>
    <row r="40" customFormat="false" ht="23.85" hidden="false" customHeight="false" outlineLevel="0" collapsed="false">
      <c r="A40" s="2" t="s">
        <v>124</v>
      </c>
      <c r="B40" s="3" t="n">
        <v>45541</v>
      </c>
      <c r="C40" s="4" t="s">
        <v>125</v>
      </c>
      <c r="D40" s="2" t="s">
        <v>49</v>
      </c>
      <c r="E40" s="5" t="s">
        <v>12</v>
      </c>
      <c r="F40" s="2" t="s">
        <v>109</v>
      </c>
      <c r="G40" s="6" t="n">
        <v>462603</v>
      </c>
      <c r="H40" s="2" t="s">
        <v>126</v>
      </c>
      <c r="I40" s="2" t="s">
        <v>27</v>
      </c>
    </row>
    <row r="41" customFormat="false" ht="23.85" hidden="false" customHeight="false" outlineLevel="0" collapsed="false">
      <c r="A41" s="2" t="s">
        <v>127</v>
      </c>
      <c r="B41" s="3" t="n">
        <v>45543</v>
      </c>
      <c r="C41" s="4" t="s">
        <v>128</v>
      </c>
      <c r="D41" s="2" t="s">
        <v>30</v>
      </c>
      <c r="E41" s="5" t="s">
        <v>12</v>
      </c>
      <c r="F41" s="2" t="s">
        <v>109</v>
      </c>
      <c r="G41" s="6" t="n">
        <v>53343</v>
      </c>
      <c r="H41" s="2" t="s">
        <v>32</v>
      </c>
      <c r="I41" s="2" t="s">
        <v>27</v>
      </c>
    </row>
    <row r="42" customFormat="false" ht="23.85" hidden="false" customHeight="false" outlineLevel="0" collapsed="false">
      <c r="A42" s="2" t="s">
        <v>129</v>
      </c>
      <c r="B42" s="3" t="n">
        <v>45544</v>
      </c>
      <c r="C42" s="4" t="s">
        <v>130</v>
      </c>
      <c r="D42" s="2" t="s">
        <v>11</v>
      </c>
      <c r="E42" s="7" t="s">
        <v>19</v>
      </c>
      <c r="F42" s="2" t="s">
        <v>74</v>
      </c>
      <c r="G42" s="6" t="n">
        <v>43915</v>
      </c>
      <c r="H42" s="2" t="s">
        <v>131</v>
      </c>
      <c r="I42" s="2" t="s">
        <v>22</v>
      </c>
    </row>
    <row r="43" customFormat="false" ht="23.85" hidden="false" customHeight="false" outlineLevel="0" collapsed="false">
      <c r="A43" s="2" t="s">
        <v>132</v>
      </c>
      <c r="B43" s="3" t="n">
        <v>45547</v>
      </c>
      <c r="C43" s="4" t="s">
        <v>133</v>
      </c>
      <c r="D43" s="2" t="s">
        <v>55</v>
      </c>
      <c r="E43" s="8" t="s">
        <v>25</v>
      </c>
      <c r="F43" s="2" t="s">
        <v>20</v>
      </c>
      <c r="G43" s="6" t="n">
        <v>2897</v>
      </c>
      <c r="H43" s="2" t="s">
        <v>66</v>
      </c>
      <c r="I43" s="2" t="s">
        <v>33</v>
      </c>
    </row>
    <row r="44" customFormat="false" ht="23.85" hidden="false" customHeight="false" outlineLevel="0" collapsed="false">
      <c r="A44" s="2" t="s">
        <v>134</v>
      </c>
      <c r="B44" s="3" t="n">
        <v>45548</v>
      </c>
      <c r="C44" s="4" t="s">
        <v>135</v>
      </c>
      <c r="D44" s="2" t="s">
        <v>55</v>
      </c>
      <c r="E44" s="7" t="s">
        <v>19</v>
      </c>
      <c r="F44" s="2" t="s">
        <v>20</v>
      </c>
      <c r="G44" s="6" t="n">
        <v>29369</v>
      </c>
      <c r="H44" s="2" t="s">
        <v>136</v>
      </c>
      <c r="I44" s="2" t="s">
        <v>27</v>
      </c>
    </row>
    <row r="45" customFormat="false" ht="23.85" hidden="false" customHeight="false" outlineLevel="0" collapsed="false">
      <c r="A45" s="2" t="s">
        <v>137</v>
      </c>
      <c r="B45" s="3" t="n">
        <v>45550</v>
      </c>
      <c r="C45" s="4" t="s">
        <v>138</v>
      </c>
      <c r="D45" s="2" t="s">
        <v>49</v>
      </c>
      <c r="E45" s="8" t="s">
        <v>25</v>
      </c>
      <c r="F45" s="2" t="s">
        <v>26</v>
      </c>
      <c r="G45" s="6" t="n">
        <v>949</v>
      </c>
      <c r="H45" s="2" t="s">
        <v>112</v>
      </c>
      <c r="I45" s="2" t="s">
        <v>15</v>
      </c>
    </row>
    <row r="46" customFormat="false" ht="23.85" hidden="false" customHeight="false" outlineLevel="0" collapsed="false">
      <c r="A46" s="2" t="s">
        <v>139</v>
      </c>
      <c r="B46" s="3" t="n">
        <v>45550</v>
      </c>
      <c r="C46" s="4" t="s">
        <v>140</v>
      </c>
      <c r="D46" s="2" t="s">
        <v>11</v>
      </c>
      <c r="E46" s="7" t="s">
        <v>19</v>
      </c>
      <c r="F46" s="2" t="s">
        <v>26</v>
      </c>
      <c r="G46" s="6" t="n">
        <v>22519</v>
      </c>
      <c r="H46" s="2" t="s">
        <v>100</v>
      </c>
      <c r="I46" s="2" t="s">
        <v>27</v>
      </c>
    </row>
    <row r="47" customFormat="false" ht="23.85" hidden="false" customHeight="false" outlineLevel="0" collapsed="false">
      <c r="A47" s="2" t="s">
        <v>141</v>
      </c>
      <c r="B47" s="3" t="n">
        <v>45554</v>
      </c>
      <c r="C47" s="4" t="s">
        <v>142</v>
      </c>
      <c r="D47" s="2" t="s">
        <v>55</v>
      </c>
      <c r="E47" s="8" t="s">
        <v>25</v>
      </c>
      <c r="F47" s="2" t="s">
        <v>31</v>
      </c>
      <c r="G47" s="6" t="n">
        <v>1421</v>
      </c>
      <c r="H47" s="2" t="s">
        <v>136</v>
      </c>
      <c r="I47" s="2" t="s">
        <v>15</v>
      </c>
    </row>
    <row r="48" customFormat="false" ht="23.85" hidden="false" customHeight="false" outlineLevel="0" collapsed="false">
      <c r="A48" s="2" t="s">
        <v>143</v>
      </c>
      <c r="B48" s="3" t="n">
        <v>45556</v>
      </c>
      <c r="C48" s="4" t="s">
        <v>144</v>
      </c>
      <c r="D48" s="2" t="s">
        <v>30</v>
      </c>
      <c r="E48" s="8" t="s">
        <v>25</v>
      </c>
      <c r="F48" s="2" t="s">
        <v>31</v>
      </c>
      <c r="G48" s="6" t="n">
        <v>4183</v>
      </c>
      <c r="H48" s="2" t="s">
        <v>145</v>
      </c>
      <c r="I48" s="2" t="s">
        <v>22</v>
      </c>
    </row>
    <row r="49" customFormat="false" ht="23.85" hidden="false" customHeight="false" outlineLevel="0" collapsed="false">
      <c r="A49" s="2" t="s">
        <v>146</v>
      </c>
      <c r="B49" s="3" t="n">
        <v>45571</v>
      </c>
      <c r="C49" s="4" t="s">
        <v>147</v>
      </c>
      <c r="D49" s="2" t="s">
        <v>49</v>
      </c>
      <c r="E49" s="8" t="s">
        <v>25</v>
      </c>
      <c r="F49" s="2" t="s">
        <v>74</v>
      </c>
      <c r="G49" s="6" t="n">
        <v>4019</v>
      </c>
      <c r="H49" s="2" t="s">
        <v>126</v>
      </c>
      <c r="I49" s="2" t="s">
        <v>22</v>
      </c>
    </row>
    <row r="50" customFormat="false" ht="23.85" hidden="false" customHeight="false" outlineLevel="0" collapsed="false">
      <c r="A50" s="2" t="s">
        <v>148</v>
      </c>
      <c r="B50" s="3" t="n">
        <v>45573</v>
      </c>
      <c r="C50" s="4" t="s">
        <v>149</v>
      </c>
      <c r="D50" s="2" t="s">
        <v>36</v>
      </c>
      <c r="E50" s="9" t="s">
        <v>44</v>
      </c>
      <c r="F50" s="2" t="s">
        <v>65</v>
      </c>
      <c r="G50" s="6" t="n">
        <v>4241415</v>
      </c>
      <c r="H50" s="2" t="s">
        <v>38</v>
      </c>
      <c r="I50" s="2" t="s">
        <v>27</v>
      </c>
    </row>
    <row r="51" customFormat="false" ht="23.85" hidden="false" customHeight="false" outlineLevel="0" collapsed="false">
      <c r="A51" s="2" t="s">
        <v>150</v>
      </c>
      <c r="B51" s="3" t="n">
        <v>45583</v>
      </c>
      <c r="C51" s="4" t="s">
        <v>68</v>
      </c>
      <c r="D51" s="2" t="s">
        <v>69</v>
      </c>
      <c r="E51" s="5" t="s">
        <v>12</v>
      </c>
      <c r="F51" s="2" t="s">
        <v>20</v>
      </c>
      <c r="G51" s="6" t="n">
        <v>450092</v>
      </c>
      <c r="H51" s="2" t="s">
        <v>87</v>
      </c>
      <c r="I51" s="2" t="s">
        <v>62</v>
      </c>
    </row>
    <row r="52" customFormat="false" ht="23.85" hidden="false" customHeight="false" outlineLevel="0" collapsed="false">
      <c r="A52" s="2" t="s">
        <v>151</v>
      </c>
      <c r="B52" s="3" t="n">
        <v>45587</v>
      </c>
      <c r="C52" s="4" t="s">
        <v>152</v>
      </c>
      <c r="D52" s="2" t="s">
        <v>36</v>
      </c>
      <c r="E52" s="7" t="s">
        <v>19</v>
      </c>
      <c r="F52" s="2" t="s">
        <v>109</v>
      </c>
      <c r="G52" s="6" t="n">
        <v>34971</v>
      </c>
      <c r="H52" s="2" t="s">
        <v>153</v>
      </c>
      <c r="I52" s="2" t="s">
        <v>22</v>
      </c>
    </row>
    <row r="53" customFormat="false" ht="23.85" hidden="false" customHeight="false" outlineLevel="0" collapsed="false">
      <c r="A53" s="2" t="s">
        <v>154</v>
      </c>
      <c r="B53" s="3" t="n">
        <v>45594</v>
      </c>
      <c r="C53" s="4" t="s">
        <v>155</v>
      </c>
      <c r="D53" s="2" t="s">
        <v>11</v>
      </c>
      <c r="E53" s="7" t="s">
        <v>19</v>
      </c>
      <c r="F53" s="2" t="s">
        <v>26</v>
      </c>
      <c r="G53" s="6" t="n">
        <v>45280</v>
      </c>
      <c r="H53" s="2" t="s">
        <v>131</v>
      </c>
      <c r="I53" s="2" t="s">
        <v>62</v>
      </c>
    </row>
    <row r="54" customFormat="false" ht="23.85" hidden="false" customHeight="false" outlineLevel="0" collapsed="false">
      <c r="A54" s="2" t="s">
        <v>156</v>
      </c>
      <c r="B54" s="3" t="n">
        <v>45598</v>
      </c>
      <c r="C54" s="4" t="s">
        <v>157</v>
      </c>
      <c r="D54" s="2" t="s">
        <v>18</v>
      </c>
      <c r="E54" s="9" t="s">
        <v>44</v>
      </c>
      <c r="F54" s="2" t="s">
        <v>109</v>
      </c>
      <c r="G54" s="6" t="n">
        <v>2517226</v>
      </c>
      <c r="H54" s="2" t="s">
        <v>158</v>
      </c>
      <c r="I54" s="2" t="s">
        <v>22</v>
      </c>
    </row>
    <row r="55" customFormat="false" ht="23.85" hidden="false" customHeight="false" outlineLevel="0" collapsed="false">
      <c r="A55" s="2" t="s">
        <v>159</v>
      </c>
      <c r="B55" s="3" t="n">
        <v>45599</v>
      </c>
      <c r="C55" s="4" t="s">
        <v>160</v>
      </c>
      <c r="D55" s="2" t="s">
        <v>69</v>
      </c>
      <c r="E55" s="5" t="s">
        <v>12</v>
      </c>
      <c r="F55" s="2" t="s">
        <v>45</v>
      </c>
      <c r="G55" s="6" t="n">
        <v>212154</v>
      </c>
      <c r="H55" s="2" t="s">
        <v>32</v>
      </c>
      <c r="I55" s="2" t="s">
        <v>62</v>
      </c>
    </row>
    <row r="56" customFormat="false" ht="23.85" hidden="false" customHeight="false" outlineLevel="0" collapsed="false">
      <c r="A56" s="2" t="s">
        <v>161</v>
      </c>
      <c r="B56" s="3" t="n">
        <v>45600</v>
      </c>
      <c r="C56" s="4" t="s">
        <v>64</v>
      </c>
      <c r="D56" s="2" t="s">
        <v>55</v>
      </c>
      <c r="E56" s="7" t="s">
        <v>19</v>
      </c>
      <c r="F56" s="2" t="s">
        <v>37</v>
      </c>
      <c r="G56" s="6" t="n">
        <v>12933</v>
      </c>
      <c r="H56" s="2" t="s">
        <v>61</v>
      </c>
      <c r="I56" s="2" t="s">
        <v>62</v>
      </c>
    </row>
    <row r="57" customFormat="false" ht="23.85" hidden="false" customHeight="false" outlineLevel="0" collapsed="false">
      <c r="A57" s="2" t="s">
        <v>162</v>
      </c>
      <c r="B57" s="3" t="n">
        <v>45609</v>
      </c>
      <c r="C57" s="4" t="s">
        <v>163</v>
      </c>
      <c r="D57" s="2" t="s">
        <v>55</v>
      </c>
      <c r="E57" s="8" t="s">
        <v>25</v>
      </c>
      <c r="F57" s="2" t="s">
        <v>45</v>
      </c>
      <c r="G57" s="6" t="n">
        <v>3262</v>
      </c>
      <c r="H57" s="2" t="s">
        <v>66</v>
      </c>
      <c r="I57" s="2" t="s">
        <v>62</v>
      </c>
    </row>
    <row r="58" customFormat="false" ht="23.85" hidden="false" customHeight="false" outlineLevel="0" collapsed="false">
      <c r="A58" s="2" t="s">
        <v>164</v>
      </c>
      <c r="B58" s="3" t="n">
        <v>45610</v>
      </c>
      <c r="C58" s="4" t="s">
        <v>165</v>
      </c>
      <c r="D58" s="2" t="s">
        <v>18</v>
      </c>
      <c r="E58" s="5" t="s">
        <v>12</v>
      </c>
      <c r="F58" s="2" t="s">
        <v>26</v>
      </c>
      <c r="G58" s="6" t="n">
        <v>95290</v>
      </c>
      <c r="H58" s="2" t="s">
        <v>158</v>
      </c>
      <c r="I58" s="2" t="s">
        <v>27</v>
      </c>
    </row>
    <row r="59" customFormat="false" ht="23.85" hidden="false" customHeight="false" outlineLevel="0" collapsed="false">
      <c r="A59" s="2" t="s">
        <v>166</v>
      </c>
      <c r="B59" s="3" t="n">
        <v>45613</v>
      </c>
      <c r="C59" s="4" t="s">
        <v>167</v>
      </c>
      <c r="D59" s="2" t="s">
        <v>30</v>
      </c>
      <c r="E59" s="8" t="s">
        <v>25</v>
      </c>
      <c r="F59" s="2" t="s">
        <v>84</v>
      </c>
      <c r="G59" s="6" t="n">
        <v>1240</v>
      </c>
      <c r="H59" s="2" t="s">
        <v>32</v>
      </c>
      <c r="I59" s="2" t="s">
        <v>22</v>
      </c>
    </row>
    <row r="60" customFormat="false" ht="23.85" hidden="false" customHeight="false" outlineLevel="0" collapsed="false">
      <c r="A60" s="2" t="s">
        <v>168</v>
      </c>
      <c r="B60" s="3" t="n">
        <v>45619</v>
      </c>
      <c r="C60" s="4" t="s">
        <v>169</v>
      </c>
      <c r="D60" s="2" t="s">
        <v>11</v>
      </c>
      <c r="E60" s="5" t="s">
        <v>12</v>
      </c>
      <c r="F60" s="2" t="s">
        <v>31</v>
      </c>
      <c r="G60" s="6" t="n">
        <v>244356</v>
      </c>
      <c r="H60" s="2" t="s">
        <v>14</v>
      </c>
      <c r="I60" s="2" t="s">
        <v>22</v>
      </c>
    </row>
    <row r="61" customFormat="false" ht="23.85" hidden="false" customHeight="false" outlineLevel="0" collapsed="false">
      <c r="A61" s="2" t="s">
        <v>170</v>
      </c>
      <c r="B61" s="3" t="n">
        <v>45625</v>
      </c>
      <c r="C61" s="4" t="s">
        <v>171</v>
      </c>
      <c r="D61" s="2" t="s">
        <v>30</v>
      </c>
      <c r="E61" s="7" t="s">
        <v>19</v>
      </c>
      <c r="F61" s="2" t="s">
        <v>31</v>
      </c>
      <c r="G61" s="6" t="n">
        <v>34986</v>
      </c>
      <c r="H61" s="2" t="s">
        <v>46</v>
      </c>
      <c r="I61" s="2" t="s">
        <v>62</v>
      </c>
    </row>
    <row r="62" customFormat="false" ht="23.85" hidden="false" customHeight="false" outlineLevel="0" collapsed="false">
      <c r="A62" s="2" t="s">
        <v>172</v>
      </c>
      <c r="B62" s="3" t="n">
        <v>45627</v>
      </c>
      <c r="C62" s="4" t="s">
        <v>173</v>
      </c>
      <c r="D62" s="2" t="s">
        <v>49</v>
      </c>
      <c r="E62" s="8" t="s">
        <v>25</v>
      </c>
      <c r="F62" s="2" t="s">
        <v>65</v>
      </c>
      <c r="G62" s="6" t="n">
        <v>2510</v>
      </c>
      <c r="H62" s="2" t="s">
        <v>112</v>
      </c>
      <c r="I62" s="2" t="s">
        <v>22</v>
      </c>
    </row>
    <row r="63" customFormat="false" ht="23.85" hidden="false" customHeight="false" outlineLevel="0" collapsed="false">
      <c r="A63" s="2" t="s">
        <v>174</v>
      </c>
      <c r="B63" s="3" t="n">
        <v>45627</v>
      </c>
      <c r="C63" s="4" t="s">
        <v>175</v>
      </c>
      <c r="D63" s="2" t="s">
        <v>49</v>
      </c>
      <c r="E63" s="5" t="s">
        <v>12</v>
      </c>
      <c r="F63" s="2" t="s">
        <v>109</v>
      </c>
      <c r="G63" s="6" t="n">
        <v>97821</v>
      </c>
      <c r="H63" s="2" t="s">
        <v>126</v>
      </c>
      <c r="I63" s="2" t="s">
        <v>33</v>
      </c>
    </row>
    <row r="64" customFormat="false" ht="23.85" hidden="false" customHeight="false" outlineLevel="0" collapsed="false">
      <c r="A64" s="2" t="s">
        <v>176</v>
      </c>
      <c r="B64" s="3" t="n">
        <v>45632</v>
      </c>
      <c r="C64" s="4" t="s">
        <v>177</v>
      </c>
      <c r="D64" s="2" t="s">
        <v>36</v>
      </c>
      <c r="E64" s="5" t="s">
        <v>12</v>
      </c>
      <c r="F64" s="2" t="s">
        <v>109</v>
      </c>
      <c r="G64" s="6" t="n">
        <v>73244</v>
      </c>
      <c r="H64" s="2" t="s">
        <v>178</v>
      </c>
      <c r="I64" s="2" t="s">
        <v>22</v>
      </c>
    </row>
    <row r="65" customFormat="false" ht="23.85" hidden="false" customHeight="false" outlineLevel="0" collapsed="false">
      <c r="A65" s="2" t="s">
        <v>179</v>
      </c>
      <c r="B65" s="3" t="n">
        <v>45635</v>
      </c>
      <c r="C65" s="4" t="s">
        <v>180</v>
      </c>
      <c r="D65" s="2" t="s">
        <v>36</v>
      </c>
      <c r="E65" s="7" t="s">
        <v>19</v>
      </c>
      <c r="F65" s="2" t="s">
        <v>26</v>
      </c>
      <c r="G65" s="6" t="n">
        <v>40399</v>
      </c>
      <c r="H65" s="2" t="s">
        <v>181</v>
      </c>
      <c r="I65" s="2" t="s">
        <v>27</v>
      </c>
    </row>
    <row r="66" customFormat="false" ht="23.85" hidden="false" customHeight="false" outlineLevel="0" collapsed="false">
      <c r="A66" s="2" t="s">
        <v>182</v>
      </c>
      <c r="B66" s="3" t="n">
        <v>45637</v>
      </c>
      <c r="C66" s="4" t="s">
        <v>183</v>
      </c>
      <c r="D66" s="2" t="s">
        <v>36</v>
      </c>
      <c r="E66" s="8" t="s">
        <v>25</v>
      </c>
      <c r="F66" s="2" t="s">
        <v>65</v>
      </c>
      <c r="G66" s="6" t="n">
        <v>4651</v>
      </c>
      <c r="H66" s="2" t="s">
        <v>38</v>
      </c>
      <c r="I66" s="2" t="s">
        <v>62</v>
      </c>
    </row>
    <row r="67" customFormat="false" ht="23.85" hidden="false" customHeight="false" outlineLevel="0" collapsed="false">
      <c r="A67" s="2" t="s">
        <v>184</v>
      </c>
      <c r="B67" s="3" t="n">
        <v>45640</v>
      </c>
      <c r="C67" s="4" t="s">
        <v>185</v>
      </c>
      <c r="D67" s="2" t="s">
        <v>41</v>
      </c>
      <c r="E67" s="5" t="s">
        <v>12</v>
      </c>
      <c r="F67" s="2" t="s">
        <v>65</v>
      </c>
      <c r="G67" s="6" t="n">
        <v>131516</v>
      </c>
      <c r="H67" s="2" t="s">
        <v>186</v>
      </c>
      <c r="I67" s="2" t="s">
        <v>33</v>
      </c>
    </row>
    <row r="68" customFormat="false" ht="23.85" hidden="false" customHeight="false" outlineLevel="0" collapsed="false">
      <c r="A68" s="2" t="s">
        <v>187</v>
      </c>
      <c r="B68" s="3" t="n">
        <v>45644</v>
      </c>
      <c r="C68" s="4" t="s">
        <v>171</v>
      </c>
      <c r="D68" s="2" t="s">
        <v>30</v>
      </c>
      <c r="E68" s="5" t="s">
        <v>12</v>
      </c>
      <c r="F68" s="2" t="s">
        <v>84</v>
      </c>
      <c r="G68" s="6" t="n">
        <v>441084</v>
      </c>
      <c r="H68" s="2" t="s">
        <v>21</v>
      </c>
      <c r="I68" s="2" t="s">
        <v>22</v>
      </c>
    </row>
    <row r="69" customFormat="false" ht="23.85" hidden="false" customHeight="false" outlineLevel="0" collapsed="false">
      <c r="A69" s="2" t="s">
        <v>188</v>
      </c>
      <c r="B69" s="3" t="n">
        <v>45652</v>
      </c>
      <c r="C69" s="4" t="s">
        <v>189</v>
      </c>
      <c r="D69" s="2" t="s">
        <v>11</v>
      </c>
      <c r="E69" s="7" t="s">
        <v>19</v>
      </c>
      <c r="F69" s="2" t="s">
        <v>31</v>
      </c>
      <c r="G69" s="6" t="n">
        <v>46721</v>
      </c>
      <c r="H69" s="2" t="s">
        <v>131</v>
      </c>
      <c r="I69" s="2" t="s">
        <v>22</v>
      </c>
    </row>
    <row r="70" customFormat="false" ht="23.85" hidden="false" customHeight="false" outlineLevel="0" collapsed="false">
      <c r="A70" s="2" t="s">
        <v>190</v>
      </c>
      <c r="B70" s="3" t="n">
        <v>45653</v>
      </c>
      <c r="C70" s="4" t="s">
        <v>191</v>
      </c>
      <c r="D70" s="2" t="s">
        <v>36</v>
      </c>
      <c r="E70" s="7" t="s">
        <v>19</v>
      </c>
      <c r="F70" s="2" t="s">
        <v>13</v>
      </c>
      <c r="G70" s="6" t="n">
        <v>8312</v>
      </c>
      <c r="H70" s="2" t="s">
        <v>178</v>
      </c>
      <c r="I70" s="2" t="s">
        <v>22</v>
      </c>
    </row>
    <row r="71" customFormat="false" ht="23.85" hidden="false" customHeight="false" outlineLevel="0" collapsed="false">
      <c r="A71" s="2" t="s">
        <v>192</v>
      </c>
      <c r="B71" s="3" t="n">
        <v>45660</v>
      </c>
      <c r="C71" s="4" t="s">
        <v>193</v>
      </c>
      <c r="D71" s="2" t="s">
        <v>69</v>
      </c>
      <c r="E71" s="8" t="s">
        <v>25</v>
      </c>
      <c r="F71" s="2" t="s">
        <v>45</v>
      </c>
      <c r="G71" s="6" t="n">
        <v>4864</v>
      </c>
      <c r="H71" s="2" t="s">
        <v>194</v>
      </c>
      <c r="I71" s="2" t="s">
        <v>27</v>
      </c>
    </row>
    <row r="72" customFormat="false" ht="23.85" hidden="false" customHeight="false" outlineLevel="0" collapsed="false">
      <c r="A72" s="2" t="s">
        <v>195</v>
      </c>
      <c r="B72" s="3" t="n">
        <v>45662</v>
      </c>
      <c r="C72" s="4" t="s">
        <v>196</v>
      </c>
      <c r="D72" s="2" t="s">
        <v>30</v>
      </c>
      <c r="E72" s="7" t="s">
        <v>19</v>
      </c>
      <c r="F72" s="2" t="s">
        <v>45</v>
      </c>
      <c r="G72" s="6" t="n">
        <v>43906</v>
      </c>
      <c r="H72" s="2" t="s">
        <v>46</v>
      </c>
      <c r="I72" s="2" t="s">
        <v>22</v>
      </c>
    </row>
    <row r="73" customFormat="false" ht="23.85" hidden="false" customHeight="false" outlineLevel="0" collapsed="false">
      <c r="A73" s="2" t="s">
        <v>197</v>
      </c>
      <c r="B73" s="3" t="n">
        <v>45672</v>
      </c>
      <c r="C73" s="4" t="s">
        <v>163</v>
      </c>
      <c r="D73" s="2" t="s">
        <v>55</v>
      </c>
      <c r="E73" s="5" t="s">
        <v>12</v>
      </c>
      <c r="F73" s="2" t="s">
        <v>74</v>
      </c>
      <c r="G73" s="6" t="n">
        <v>450076</v>
      </c>
      <c r="H73" s="2" t="s">
        <v>61</v>
      </c>
      <c r="I73" s="2" t="s">
        <v>22</v>
      </c>
    </row>
    <row r="74" customFormat="false" ht="23.85" hidden="false" customHeight="false" outlineLevel="0" collapsed="false">
      <c r="A74" s="2" t="s">
        <v>198</v>
      </c>
      <c r="B74" s="3" t="n">
        <v>45678</v>
      </c>
      <c r="C74" s="4" t="s">
        <v>199</v>
      </c>
      <c r="D74" s="2" t="s">
        <v>69</v>
      </c>
      <c r="E74" s="7" t="s">
        <v>19</v>
      </c>
      <c r="F74" s="2" t="s">
        <v>45</v>
      </c>
      <c r="G74" s="6" t="n">
        <v>36195</v>
      </c>
      <c r="H74" s="2" t="s">
        <v>194</v>
      </c>
      <c r="I74" s="2" t="s">
        <v>22</v>
      </c>
    </row>
    <row r="75" customFormat="false" ht="23.85" hidden="false" customHeight="false" outlineLevel="0" collapsed="false">
      <c r="A75" s="2" t="s">
        <v>200</v>
      </c>
      <c r="B75" s="3" t="n">
        <v>45679</v>
      </c>
      <c r="C75" s="4" t="s">
        <v>201</v>
      </c>
      <c r="D75" s="2" t="s">
        <v>49</v>
      </c>
      <c r="E75" s="8" t="s">
        <v>25</v>
      </c>
      <c r="F75" s="2" t="s">
        <v>20</v>
      </c>
      <c r="G75" s="6" t="n">
        <v>4522</v>
      </c>
      <c r="H75" s="2" t="s">
        <v>21</v>
      </c>
      <c r="I75" s="2" t="s">
        <v>15</v>
      </c>
    </row>
    <row r="76" customFormat="false" ht="23.85" hidden="false" customHeight="false" outlineLevel="0" collapsed="false">
      <c r="A76" s="2" t="s">
        <v>202</v>
      </c>
      <c r="B76" s="3" t="n">
        <v>45680</v>
      </c>
      <c r="C76" s="4" t="s">
        <v>203</v>
      </c>
      <c r="D76" s="2" t="s">
        <v>69</v>
      </c>
      <c r="E76" s="8" t="s">
        <v>25</v>
      </c>
      <c r="F76" s="2" t="s">
        <v>26</v>
      </c>
      <c r="G76" s="6" t="n">
        <v>1733</v>
      </c>
      <c r="H76" s="2" t="s">
        <v>32</v>
      </c>
      <c r="I76" s="2" t="s">
        <v>62</v>
      </c>
    </row>
    <row r="77" customFormat="false" ht="23.85" hidden="false" customHeight="false" outlineLevel="0" collapsed="false">
      <c r="A77" s="2" t="s">
        <v>204</v>
      </c>
      <c r="B77" s="3" t="n">
        <v>45683</v>
      </c>
      <c r="C77" s="4" t="s">
        <v>205</v>
      </c>
      <c r="D77" s="2" t="s">
        <v>41</v>
      </c>
      <c r="E77" s="7" t="s">
        <v>19</v>
      </c>
      <c r="F77" s="2" t="s">
        <v>74</v>
      </c>
      <c r="G77" s="6" t="n">
        <v>29739</v>
      </c>
      <c r="H77" s="2" t="s">
        <v>206</v>
      </c>
      <c r="I77" s="2" t="s">
        <v>27</v>
      </c>
    </row>
    <row r="78" customFormat="false" ht="23.85" hidden="false" customHeight="false" outlineLevel="0" collapsed="false">
      <c r="A78" s="2" t="s">
        <v>207</v>
      </c>
      <c r="B78" s="3" t="n">
        <v>45684</v>
      </c>
      <c r="C78" s="4" t="s">
        <v>208</v>
      </c>
      <c r="D78" s="2" t="s">
        <v>69</v>
      </c>
      <c r="E78" s="8" t="s">
        <v>25</v>
      </c>
      <c r="F78" s="2" t="s">
        <v>31</v>
      </c>
      <c r="G78" s="6" t="n">
        <v>3659</v>
      </c>
      <c r="H78" s="2" t="s">
        <v>81</v>
      </c>
      <c r="I78" s="2" t="s">
        <v>33</v>
      </c>
    </row>
    <row r="79" customFormat="false" ht="23.85" hidden="false" customHeight="false" outlineLevel="0" collapsed="false">
      <c r="A79" s="2" t="s">
        <v>209</v>
      </c>
      <c r="B79" s="3" t="n">
        <v>45684</v>
      </c>
      <c r="C79" s="4" t="s">
        <v>201</v>
      </c>
      <c r="D79" s="2" t="s">
        <v>49</v>
      </c>
      <c r="E79" s="8" t="s">
        <v>25</v>
      </c>
      <c r="F79" s="2" t="s">
        <v>84</v>
      </c>
      <c r="G79" s="6" t="n">
        <v>1521</v>
      </c>
      <c r="H79" s="2" t="s">
        <v>112</v>
      </c>
      <c r="I79" s="2" t="s">
        <v>22</v>
      </c>
    </row>
    <row r="80" customFormat="false" ht="23.85" hidden="false" customHeight="false" outlineLevel="0" collapsed="false">
      <c r="A80" s="2" t="s">
        <v>210</v>
      </c>
      <c r="B80" s="3" t="n">
        <v>45685</v>
      </c>
      <c r="C80" s="4" t="s">
        <v>211</v>
      </c>
      <c r="D80" s="2" t="s">
        <v>18</v>
      </c>
      <c r="E80" s="7" t="s">
        <v>19</v>
      </c>
      <c r="F80" s="2" t="s">
        <v>74</v>
      </c>
      <c r="G80" s="6" t="n">
        <v>43032</v>
      </c>
      <c r="H80" s="2" t="s">
        <v>212</v>
      </c>
      <c r="I80" s="2" t="s">
        <v>22</v>
      </c>
    </row>
    <row r="81" customFormat="false" ht="23.85" hidden="false" customHeight="false" outlineLevel="0" collapsed="false">
      <c r="A81" s="2" t="s">
        <v>213</v>
      </c>
      <c r="B81" s="3" t="n">
        <v>45687</v>
      </c>
      <c r="C81" s="4" t="s">
        <v>214</v>
      </c>
      <c r="D81" s="2" t="s">
        <v>30</v>
      </c>
      <c r="E81" s="9" t="s">
        <v>44</v>
      </c>
      <c r="F81" s="2" t="s">
        <v>26</v>
      </c>
      <c r="G81" s="6" t="n">
        <v>2067136</v>
      </c>
      <c r="H81" s="2" t="s">
        <v>32</v>
      </c>
      <c r="I81" s="2" t="s">
        <v>22</v>
      </c>
    </row>
    <row r="82" customFormat="false" ht="23.85" hidden="false" customHeight="false" outlineLevel="0" collapsed="false">
      <c r="A82" s="2" t="s">
        <v>215</v>
      </c>
      <c r="B82" s="3" t="n">
        <v>45690</v>
      </c>
      <c r="C82" s="4" t="s">
        <v>216</v>
      </c>
      <c r="D82" s="2" t="s">
        <v>30</v>
      </c>
      <c r="E82" s="5" t="s">
        <v>12</v>
      </c>
      <c r="F82" s="2" t="s">
        <v>37</v>
      </c>
      <c r="G82" s="6" t="n">
        <v>414654</v>
      </c>
      <c r="H82" s="2" t="s">
        <v>46</v>
      </c>
      <c r="I82" s="2" t="s">
        <v>15</v>
      </c>
    </row>
    <row r="83" customFormat="false" ht="23.85" hidden="false" customHeight="false" outlineLevel="0" collapsed="false">
      <c r="A83" s="2" t="s">
        <v>217</v>
      </c>
      <c r="B83" s="3" t="n">
        <v>45692</v>
      </c>
      <c r="C83" s="4" t="s">
        <v>218</v>
      </c>
      <c r="D83" s="2" t="s">
        <v>18</v>
      </c>
      <c r="E83" s="7" t="s">
        <v>19</v>
      </c>
      <c r="F83" s="2" t="s">
        <v>37</v>
      </c>
      <c r="G83" s="6" t="n">
        <v>46569</v>
      </c>
      <c r="H83" s="2" t="s">
        <v>212</v>
      </c>
      <c r="I83" s="2" t="s">
        <v>62</v>
      </c>
    </row>
    <row r="84" customFormat="false" ht="23.85" hidden="false" customHeight="false" outlineLevel="0" collapsed="false">
      <c r="A84" s="2" t="s">
        <v>219</v>
      </c>
      <c r="B84" s="3" t="n">
        <v>45695</v>
      </c>
      <c r="C84" s="4" t="s">
        <v>99</v>
      </c>
      <c r="D84" s="2" t="s">
        <v>11</v>
      </c>
      <c r="E84" s="9" t="s">
        <v>44</v>
      </c>
      <c r="F84" s="2" t="s">
        <v>26</v>
      </c>
      <c r="G84" s="6" t="n">
        <v>3344453</v>
      </c>
      <c r="H84" s="2" t="s">
        <v>14</v>
      </c>
      <c r="I84" s="2" t="s">
        <v>15</v>
      </c>
    </row>
    <row r="85" customFormat="false" ht="23.85" hidden="false" customHeight="false" outlineLevel="0" collapsed="false">
      <c r="A85" s="2" t="s">
        <v>220</v>
      </c>
      <c r="B85" s="3" t="n">
        <v>45702</v>
      </c>
      <c r="C85" s="4" t="s">
        <v>221</v>
      </c>
      <c r="D85" s="2" t="s">
        <v>41</v>
      </c>
      <c r="E85" s="5" t="s">
        <v>12</v>
      </c>
      <c r="F85" s="2" t="s">
        <v>74</v>
      </c>
      <c r="G85" s="6" t="n">
        <v>88840</v>
      </c>
      <c r="H85" s="2" t="s">
        <v>32</v>
      </c>
      <c r="I85" s="2" t="s">
        <v>62</v>
      </c>
    </row>
    <row r="86" customFormat="false" ht="23.85" hidden="false" customHeight="false" outlineLevel="0" collapsed="false">
      <c r="A86" s="2" t="s">
        <v>222</v>
      </c>
      <c r="B86" s="3" t="n">
        <v>45702</v>
      </c>
      <c r="C86" s="4" t="s">
        <v>223</v>
      </c>
      <c r="D86" s="2" t="s">
        <v>41</v>
      </c>
      <c r="E86" s="5" t="s">
        <v>12</v>
      </c>
      <c r="F86" s="2" t="s">
        <v>20</v>
      </c>
      <c r="G86" s="6" t="n">
        <v>124383</v>
      </c>
      <c r="H86" s="2" t="s">
        <v>32</v>
      </c>
      <c r="I86" s="2" t="s">
        <v>27</v>
      </c>
    </row>
    <row r="87" customFormat="false" ht="23.85" hidden="false" customHeight="false" outlineLevel="0" collapsed="false">
      <c r="A87" s="2" t="s">
        <v>224</v>
      </c>
      <c r="B87" s="3" t="n">
        <v>45706</v>
      </c>
      <c r="C87" s="4" t="s">
        <v>225</v>
      </c>
      <c r="D87" s="2" t="s">
        <v>30</v>
      </c>
      <c r="E87" s="7" t="s">
        <v>19</v>
      </c>
      <c r="F87" s="2" t="s">
        <v>84</v>
      </c>
      <c r="G87" s="6" t="n">
        <v>23973</v>
      </c>
      <c r="H87" s="2" t="s">
        <v>46</v>
      </c>
      <c r="I87" s="2" t="s">
        <v>22</v>
      </c>
    </row>
    <row r="88" customFormat="false" ht="23.85" hidden="false" customHeight="false" outlineLevel="0" collapsed="false">
      <c r="A88" s="2" t="s">
        <v>226</v>
      </c>
      <c r="B88" s="3" t="n">
        <v>45707</v>
      </c>
      <c r="C88" s="4" t="s">
        <v>227</v>
      </c>
      <c r="D88" s="2" t="s">
        <v>69</v>
      </c>
      <c r="E88" s="5" t="s">
        <v>12</v>
      </c>
      <c r="F88" s="2" t="s">
        <v>26</v>
      </c>
      <c r="G88" s="6" t="n">
        <v>319004</v>
      </c>
      <c r="H88" s="2" t="s">
        <v>87</v>
      </c>
      <c r="I88" s="2" t="s">
        <v>33</v>
      </c>
    </row>
    <row r="89" customFormat="false" ht="23.85" hidden="false" customHeight="false" outlineLevel="0" collapsed="false">
      <c r="A89" s="2" t="s">
        <v>228</v>
      </c>
      <c r="B89" s="3" t="n">
        <v>45709</v>
      </c>
      <c r="C89" s="4" t="s">
        <v>229</v>
      </c>
      <c r="D89" s="2" t="s">
        <v>18</v>
      </c>
      <c r="E89" s="7" t="s">
        <v>19</v>
      </c>
      <c r="F89" s="2" t="s">
        <v>20</v>
      </c>
      <c r="G89" s="6" t="n">
        <v>6721</v>
      </c>
      <c r="H89" s="2" t="s">
        <v>212</v>
      </c>
      <c r="I89" s="2" t="s">
        <v>22</v>
      </c>
    </row>
    <row r="90" customFormat="false" ht="23.85" hidden="false" customHeight="false" outlineLevel="0" collapsed="false">
      <c r="A90" s="2" t="s">
        <v>230</v>
      </c>
      <c r="B90" s="3" t="n">
        <v>45718</v>
      </c>
      <c r="C90" s="4" t="s">
        <v>231</v>
      </c>
      <c r="D90" s="2" t="s">
        <v>41</v>
      </c>
      <c r="E90" s="7" t="s">
        <v>19</v>
      </c>
      <c r="F90" s="2" t="s">
        <v>26</v>
      </c>
      <c r="G90" s="6" t="n">
        <v>22777</v>
      </c>
      <c r="H90" s="2" t="s">
        <v>32</v>
      </c>
      <c r="I90" s="2" t="s">
        <v>22</v>
      </c>
    </row>
    <row r="91" customFormat="false" ht="23.85" hidden="false" customHeight="false" outlineLevel="0" collapsed="false">
      <c r="A91" s="2" t="s">
        <v>232</v>
      </c>
      <c r="B91" s="3" t="n">
        <v>45729</v>
      </c>
      <c r="C91" s="4" t="s">
        <v>233</v>
      </c>
      <c r="D91" s="2" t="s">
        <v>41</v>
      </c>
      <c r="E91" s="5" t="s">
        <v>12</v>
      </c>
      <c r="F91" s="2" t="s">
        <v>45</v>
      </c>
      <c r="G91" s="6" t="n">
        <v>55069</v>
      </c>
      <c r="H91" s="2" t="s">
        <v>32</v>
      </c>
      <c r="I91" s="2" t="s">
        <v>27</v>
      </c>
    </row>
    <row r="92" customFormat="false" ht="23.85" hidden="false" customHeight="false" outlineLevel="0" collapsed="false">
      <c r="A92" s="2" t="s">
        <v>234</v>
      </c>
      <c r="B92" s="3" t="n">
        <v>45731</v>
      </c>
      <c r="C92" s="4" t="s">
        <v>235</v>
      </c>
      <c r="D92" s="2" t="s">
        <v>11</v>
      </c>
      <c r="E92" s="5" t="s">
        <v>12</v>
      </c>
      <c r="F92" s="2" t="s">
        <v>65</v>
      </c>
      <c r="G92" s="6" t="n">
        <v>348125</v>
      </c>
      <c r="H92" s="2" t="s">
        <v>119</v>
      </c>
      <c r="I92" s="2" t="s">
        <v>22</v>
      </c>
    </row>
    <row r="93" customFormat="false" ht="23.85" hidden="false" customHeight="false" outlineLevel="0" collapsed="false">
      <c r="A93" s="2" t="s">
        <v>236</v>
      </c>
      <c r="B93" s="3" t="n">
        <v>45731</v>
      </c>
      <c r="C93" s="4" t="s">
        <v>237</v>
      </c>
      <c r="D93" s="2" t="s">
        <v>49</v>
      </c>
      <c r="E93" s="7" t="s">
        <v>19</v>
      </c>
      <c r="F93" s="2" t="s">
        <v>31</v>
      </c>
      <c r="G93" s="6" t="n">
        <v>37421</v>
      </c>
      <c r="H93" s="2" t="s">
        <v>21</v>
      </c>
      <c r="I93" s="2" t="s">
        <v>62</v>
      </c>
    </row>
    <row r="94" customFormat="false" ht="23.85" hidden="false" customHeight="false" outlineLevel="0" collapsed="false">
      <c r="A94" s="2" t="s">
        <v>238</v>
      </c>
      <c r="B94" s="3" t="n">
        <v>45731</v>
      </c>
      <c r="C94" s="4" t="s">
        <v>239</v>
      </c>
      <c r="D94" s="2" t="s">
        <v>49</v>
      </c>
      <c r="E94" s="7" t="s">
        <v>19</v>
      </c>
      <c r="F94" s="2" t="s">
        <v>65</v>
      </c>
      <c r="G94" s="6" t="n">
        <v>39331</v>
      </c>
      <c r="H94" s="2" t="s">
        <v>50</v>
      </c>
      <c r="I94" s="2" t="s">
        <v>62</v>
      </c>
    </row>
    <row r="95" customFormat="false" ht="23.85" hidden="false" customHeight="false" outlineLevel="0" collapsed="false">
      <c r="A95" s="2" t="s">
        <v>240</v>
      </c>
      <c r="B95" s="3" t="n">
        <v>45734</v>
      </c>
      <c r="C95" s="4" t="s">
        <v>241</v>
      </c>
      <c r="D95" s="2" t="s">
        <v>11</v>
      </c>
      <c r="E95" s="8" t="s">
        <v>25</v>
      </c>
      <c r="F95" s="2" t="s">
        <v>26</v>
      </c>
      <c r="G95" s="6" t="n">
        <v>4945</v>
      </c>
      <c r="H95" s="2" t="s">
        <v>14</v>
      </c>
      <c r="I95" s="2" t="s">
        <v>27</v>
      </c>
    </row>
    <row r="96" customFormat="false" ht="23.85" hidden="false" customHeight="false" outlineLevel="0" collapsed="false">
      <c r="A96" s="2" t="s">
        <v>242</v>
      </c>
      <c r="B96" s="3" t="n">
        <v>45737</v>
      </c>
      <c r="C96" s="4" t="s">
        <v>243</v>
      </c>
      <c r="D96" s="2" t="s">
        <v>69</v>
      </c>
      <c r="E96" s="5" t="s">
        <v>12</v>
      </c>
      <c r="F96" s="2" t="s">
        <v>109</v>
      </c>
      <c r="G96" s="6" t="n">
        <v>434720</v>
      </c>
      <c r="H96" s="2" t="s">
        <v>81</v>
      </c>
      <c r="I96" s="2" t="s">
        <v>22</v>
      </c>
    </row>
    <row r="97" customFormat="false" ht="23.85" hidden="false" customHeight="false" outlineLevel="0" collapsed="false">
      <c r="A97" s="2" t="s">
        <v>244</v>
      </c>
      <c r="B97" s="3" t="n">
        <v>45738</v>
      </c>
      <c r="C97" s="4" t="s">
        <v>208</v>
      </c>
      <c r="D97" s="2" t="s">
        <v>69</v>
      </c>
      <c r="E97" s="8" t="s">
        <v>25</v>
      </c>
      <c r="F97" s="2" t="s">
        <v>74</v>
      </c>
      <c r="G97" s="6" t="n">
        <v>237</v>
      </c>
      <c r="H97" s="2" t="s">
        <v>32</v>
      </c>
      <c r="I97" s="2" t="s">
        <v>62</v>
      </c>
    </row>
    <row r="98" customFormat="false" ht="23.85" hidden="false" customHeight="false" outlineLevel="0" collapsed="false">
      <c r="A98" s="2" t="s">
        <v>245</v>
      </c>
      <c r="B98" s="3" t="n">
        <v>45738</v>
      </c>
      <c r="C98" s="4" t="s">
        <v>102</v>
      </c>
      <c r="D98" s="2" t="s">
        <v>30</v>
      </c>
      <c r="E98" s="9" t="s">
        <v>44</v>
      </c>
      <c r="F98" s="2" t="s">
        <v>74</v>
      </c>
      <c r="G98" s="6" t="n">
        <v>1265396</v>
      </c>
      <c r="H98" s="2" t="s">
        <v>32</v>
      </c>
      <c r="I98" s="2" t="s">
        <v>62</v>
      </c>
    </row>
    <row r="99" customFormat="false" ht="23.85" hidden="false" customHeight="false" outlineLevel="0" collapsed="false">
      <c r="A99" s="2" t="s">
        <v>246</v>
      </c>
      <c r="B99" s="3" t="n">
        <v>45742</v>
      </c>
      <c r="C99" s="4" t="s">
        <v>247</v>
      </c>
      <c r="D99" s="2" t="s">
        <v>69</v>
      </c>
      <c r="E99" s="5" t="s">
        <v>12</v>
      </c>
      <c r="F99" s="2" t="s">
        <v>20</v>
      </c>
      <c r="G99" s="6" t="n">
        <v>325749</v>
      </c>
      <c r="H99" s="2" t="s">
        <v>32</v>
      </c>
      <c r="I99" s="2" t="s">
        <v>27</v>
      </c>
    </row>
    <row r="100" customFormat="false" ht="23.85" hidden="false" customHeight="false" outlineLevel="0" collapsed="false">
      <c r="A100" s="2" t="s">
        <v>248</v>
      </c>
      <c r="B100" s="3" t="n">
        <v>45744</v>
      </c>
      <c r="C100" s="4" t="s">
        <v>249</v>
      </c>
      <c r="D100" s="2" t="s">
        <v>18</v>
      </c>
      <c r="E100" s="8" t="s">
        <v>25</v>
      </c>
      <c r="F100" s="2" t="s">
        <v>65</v>
      </c>
      <c r="G100" s="6" t="n">
        <v>2250</v>
      </c>
      <c r="H100" s="2" t="s">
        <v>212</v>
      </c>
      <c r="I100" s="2" t="s">
        <v>22</v>
      </c>
    </row>
    <row r="101" customFormat="false" ht="23.85" hidden="false" customHeight="false" outlineLevel="0" collapsed="false">
      <c r="A101" s="2" t="s">
        <v>250</v>
      </c>
      <c r="B101" s="3" t="n">
        <v>45745</v>
      </c>
      <c r="C101" s="4" t="s">
        <v>133</v>
      </c>
      <c r="D101" s="2" t="s">
        <v>55</v>
      </c>
      <c r="E101" s="7" t="s">
        <v>19</v>
      </c>
      <c r="F101" s="2" t="s">
        <v>31</v>
      </c>
      <c r="G101" s="6" t="n">
        <v>10681</v>
      </c>
      <c r="H101" s="2" t="s">
        <v>61</v>
      </c>
      <c r="I101" s="2" t="s">
        <v>27</v>
      </c>
    </row>
    <row r="102" customFormat="false" ht="23.85" hidden="false" customHeight="false" outlineLevel="0" collapsed="false">
      <c r="A102" s="2" t="s">
        <v>251</v>
      </c>
      <c r="B102" s="3" t="n">
        <v>45746</v>
      </c>
      <c r="C102" s="4" t="s">
        <v>252</v>
      </c>
      <c r="D102" s="2" t="s">
        <v>30</v>
      </c>
      <c r="E102" s="7" t="s">
        <v>19</v>
      </c>
      <c r="F102" s="2" t="s">
        <v>20</v>
      </c>
      <c r="G102" s="6" t="n">
        <v>10294</v>
      </c>
      <c r="H102" s="2" t="s">
        <v>21</v>
      </c>
      <c r="I102" s="2" t="s">
        <v>22</v>
      </c>
    </row>
    <row r="103" customFormat="false" ht="23.85" hidden="false" customHeight="false" outlineLevel="0" collapsed="false">
      <c r="A103" s="2" t="s">
        <v>253</v>
      </c>
      <c r="B103" s="3" t="n">
        <v>45746</v>
      </c>
      <c r="C103" s="4" t="s">
        <v>254</v>
      </c>
      <c r="D103" s="2" t="s">
        <v>30</v>
      </c>
      <c r="E103" s="9" t="s">
        <v>44</v>
      </c>
      <c r="F103" s="2" t="s">
        <v>109</v>
      </c>
      <c r="G103" s="6" t="n">
        <v>1271572</v>
      </c>
      <c r="H103" s="2" t="s">
        <v>21</v>
      </c>
      <c r="I103" s="2" t="s">
        <v>27</v>
      </c>
    </row>
    <row r="104" customFormat="false" ht="23.85" hidden="false" customHeight="false" outlineLevel="0" collapsed="false">
      <c r="A104" s="2" t="s">
        <v>255</v>
      </c>
      <c r="B104" s="3" t="n">
        <v>45752</v>
      </c>
      <c r="C104" s="4" t="s">
        <v>256</v>
      </c>
      <c r="D104" s="2" t="s">
        <v>69</v>
      </c>
      <c r="E104" s="8" t="s">
        <v>25</v>
      </c>
      <c r="F104" s="2" t="s">
        <v>74</v>
      </c>
      <c r="G104" s="6" t="n">
        <v>2572</v>
      </c>
      <c r="H104" s="2" t="s">
        <v>32</v>
      </c>
      <c r="I104" s="2" t="s">
        <v>27</v>
      </c>
    </row>
    <row r="105" customFormat="false" ht="23.85" hidden="false" customHeight="false" outlineLevel="0" collapsed="false">
      <c r="A105" s="2" t="s">
        <v>257</v>
      </c>
      <c r="B105" s="3" t="n">
        <v>45762</v>
      </c>
      <c r="C105" s="4" t="s">
        <v>258</v>
      </c>
      <c r="D105" s="2" t="s">
        <v>69</v>
      </c>
      <c r="E105" s="9" t="s">
        <v>44</v>
      </c>
      <c r="F105" s="2" t="s">
        <v>45</v>
      </c>
      <c r="G105" s="6" t="n">
        <v>3371647</v>
      </c>
      <c r="H105" s="2" t="s">
        <v>81</v>
      </c>
      <c r="I105" s="2" t="s">
        <v>22</v>
      </c>
    </row>
    <row r="106" customFormat="false" ht="23.85" hidden="false" customHeight="false" outlineLevel="0" collapsed="false">
      <c r="A106" s="2" t="s">
        <v>259</v>
      </c>
      <c r="B106" s="3" t="n">
        <v>45766</v>
      </c>
      <c r="C106" s="4" t="s">
        <v>260</v>
      </c>
      <c r="D106" s="2" t="s">
        <v>55</v>
      </c>
      <c r="E106" s="9" t="s">
        <v>44</v>
      </c>
      <c r="F106" s="2" t="s">
        <v>45</v>
      </c>
      <c r="G106" s="6" t="n">
        <v>4057843</v>
      </c>
      <c r="H106" s="2" t="s">
        <v>66</v>
      </c>
      <c r="I106" s="2" t="s">
        <v>15</v>
      </c>
    </row>
    <row r="107" customFormat="false" ht="23.85" hidden="false" customHeight="false" outlineLevel="0" collapsed="false">
      <c r="A107" s="2" t="s">
        <v>261</v>
      </c>
      <c r="B107" s="3" t="n">
        <v>45770</v>
      </c>
      <c r="C107" s="4" t="s">
        <v>116</v>
      </c>
      <c r="D107" s="2" t="s">
        <v>55</v>
      </c>
      <c r="E107" s="7" t="s">
        <v>19</v>
      </c>
      <c r="F107" s="2" t="s">
        <v>45</v>
      </c>
      <c r="G107" s="6" t="n">
        <v>13504</v>
      </c>
      <c r="H107" s="2" t="s">
        <v>61</v>
      </c>
      <c r="I107" s="2" t="s">
        <v>27</v>
      </c>
    </row>
    <row r="108" customFormat="false" ht="23.85" hidden="false" customHeight="false" outlineLevel="0" collapsed="false">
      <c r="A108" s="2" t="s">
        <v>262</v>
      </c>
      <c r="B108" s="3" t="n">
        <v>45771</v>
      </c>
      <c r="C108" s="4" t="s">
        <v>135</v>
      </c>
      <c r="D108" s="2" t="s">
        <v>55</v>
      </c>
      <c r="E108" s="7" t="s">
        <v>19</v>
      </c>
      <c r="F108" s="2" t="s">
        <v>45</v>
      </c>
      <c r="G108" s="6" t="n">
        <v>21476</v>
      </c>
      <c r="H108" s="2" t="s">
        <v>61</v>
      </c>
      <c r="I108" s="2" t="s">
        <v>22</v>
      </c>
    </row>
    <row r="109" customFormat="false" ht="23.85" hidden="false" customHeight="false" outlineLevel="0" collapsed="false">
      <c r="A109" s="2" t="s">
        <v>263</v>
      </c>
      <c r="B109" s="3" t="n">
        <v>45774</v>
      </c>
      <c r="C109" s="4" t="s">
        <v>264</v>
      </c>
      <c r="D109" s="2" t="s">
        <v>41</v>
      </c>
      <c r="E109" s="5" t="s">
        <v>12</v>
      </c>
      <c r="F109" s="2" t="s">
        <v>13</v>
      </c>
      <c r="G109" s="6" t="n">
        <v>374820</v>
      </c>
      <c r="H109" s="2" t="s">
        <v>81</v>
      </c>
      <c r="I109" s="2" t="s">
        <v>15</v>
      </c>
    </row>
    <row r="110" customFormat="false" ht="23.85" hidden="false" customHeight="false" outlineLevel="0" collapsed="false">
      <c r="A110" s="2" t="s">
        <v>265</v>
      </c>
      <c r="B110" s="3" t="n">
        <v>45776</v>
      </c>
      <c r="C110" s="4" t="s">
        <v>266</v>
      </c>
      <c r="D110" s="2" t="s">
        <v>49</v>
      </c>
      <c r="E110" s="9" t="s">
        <v>44</v>
      </c>
      <c r="F110" s="2" t="s">
        <v>20</v>
      </c>
      <c r="G110" s="6" t="n">
        <v>3086655</v>
      </c>
      <c r="H110" s="2" t="s">
        <v>112</v>
      </c>
      <c r="I110" s="2" t="s">
        <v>22</v>
      </c>
    </row>
    <row r="111" customFormat="false" ht="23.85" hidden="false" customHeight="false" outlineLevel="0" collapsed="false">
      <c r="A111" s="2" t="s">
        <v>267</v>
      </c>
      <c r="B111" s="3" t="n">
        <v>45784</v>
      </c>
      <c r="C111" s="4" t="s">
        <v>268</v>
      </c>
      <c r="D111" s="2" t="s">
        <v>36</v>
      </c>
      <c r="E111" s="5" t="s">
        <v>12</v>
      </c>
      <c r="F111" s="2" t="s">
        <v>31</v>
      </c>
      <c r="G111" s="6" t="n">
        <v>260260</v>
      </c>
      <c r="H111" s="2" t="s">
        <v>181</v>
      </c>
      <c r="I111" s="2" t="s">
        <v>62</v>
      </c>
    </row>
    <row r="112" customFormat="false" ht="23.85" hidden="false" customHeight="false" outlineLevel="0" collapsed="false">
      <c r="A112" s="2" t="s">
        <v>269</v>
      </c>
      <c r="B112" s="3" t="n">
        <v>45787</v>
      </c>
      <c r="C112" s="4" t="s">
        <v>270</v>
      </c>
      <c r="D112" s="2" t="s">
        <v>36</v>
      </c>
      <c r="E112" s="7" t="s">
        <v>19</v>
      </c>
      <c r="F112" s="2" t="s">
        <v>65</v>
      </c>
      <c r="G112" s="6" t="n">
        <v>43639</v>
      </c>
      <c r="H112" s="2" t="s">
        <v>178</v>
      </c>
      <c r="I112" s="2" t="s">
        <v>33</v>
      </c>
    </row>
    <row r="113" customFormat="false" ht="23.85" hidden="false" customHeight="false" outlineLevel="0" collapsed="false">
      <c r="A113" s="2" t="s">
        <v>271</v>
      </c>
      <c r="B113" s="3" t="n">
        <v>45789</v>
      </c>
      <c r="C113" s="4" t="s">
        <v>272</v>
      </c>
      <c r="D113" s="2" t="s">
        <v>49</v>
      </c>
      <c r="E113" s="9" t="s">
        <v>44</v>
      </c>
      <c r="F113" s="2" t="s">
        <v>31</v>
      </c>
      <c r="G113" s="6" t="n">
        <v>2400380</v>
      </c>
      <c r="H113" s="2" t="s">
        <v>126</v>
      </c>
      <c r="I113" s="2" t="s">
        <v>62</v>
      </c>
    </row>
    <row r="114" customFormat="false" ht="23.85" hidden="false" customHeight="false" outlineLevel="0" collapsed="false">
      <c r="A114" s="2" t="s">
        <v>273</v>
      </c>
      <c r="B114" s="3" t="n">
        <v>45792</v>
      </c>
      <c r="C114" s="4" t="s">
        <v>52</v>
      </c>
      <c r="D114" s="2" t="s">
        <v>11</v>
      </c>
      <c r="E114" s="5" t="s">
        <v>12</v>
      </c>
      <c r="F114" s="2" t="s">
        <v>26</v>
      </c>
      <c r="G114" s="6" t="n">
        <v>301555</v>
      </c>
      <c r="H114" s="2" t="s">
        <v>14</v>
      </c>
      <c r="I114" s="2" t="s">
        <v>22</v>
      </c>
    </row>
    <row r="115" customFormat="false" ht="23.85" hidden="false" customHeight="false" outlineLevel="0" collapsed="false">
      <c r="A115" s="2" t="s">
        <v>274</v>
      </c>
      <c r="B115" s="3" t="n">
        <v>45794</v>
      </c>
      <c r="C115" s="4" t="s">
        <v>239</v>
      </c>
      <c r="D115" s="2" t="s">
        <v>49</v>
      </c>
      <c r="E115" s="7" t="s">
        <v>19</v>
      </c>
      <c r="F115" s="2" t="s">
        <v>13</v>
      </c>
      <c r="G115" s="6" t="n">
        <v>10915</v>
      </c>
      <c r="H115" s="2" t="s">
        <v>50</v>
      </c>
      <c r="I115" s="2" t="s">
        <v>62</v>
      </c>
    </row>
    <row r="116" customFormat="false" ht="23.85" hidden="false" customHeight="false" outlineLevel="0" collapsed="false">
      <c r="A116" s="2" t="s">
        <v>275</v>
      </c>
      <c r="B116" s="3" t="n">
        <v>45801</v>
      </c>
      <c r="C116" s="4" t="s">
        <v>276</v>
      </c>
      <c r="D116" s="2" t="s">
        <v>69</v>
      </c>
      <c r="E116" s="8" t="s">
        <v>25</v>
      </c>
      <c r="F116" s="2" t="s">
        <v>84</v>
      </c>
      <c r="G116" s="6" t="n">
        <v>1439</v>
      </c>
      <c r="H116" s="2" t="s">
        <v>87</v>
      </c>
      <c r="I116" s="2" t="s">
        <v>22</v>
      </c>
    </row>
    <row r="117" customFormat="false" ht="23.85" hidden="false" customHeight="false" outlineLevel="0" collapsed="false">
      <c r="A117" s="2" t="s">
        <v>277</v>
      </c>
      <c r="B117" s="3" t="n">
        <v>45803</v>
      </c>
      <c r="C117" s="4" t="s">
        <v>278</v>
      </c>
      <c r="D117" s="2" t="s">
        <v>69</v>
      </c>
      <c r="E117" s="5" t="s">
        <v>12</v>
      </c>
      <c r="F117" s="2" t="s">
        <v>37</v>
      </c>
      <c r="G117" s="6" t="n">
        <v>331046</v>
      </c>
      <c r="H117" s="2" t="s">
        <v>194</v>
      </c>
      <c r="I117" s="2" t="s">
        <v>22</v>
      </c>
    </row>
    <row r="118" customFormat="false" ht="23.85" hidden="false" customHeight="false" outlineLevel="0" collapsed="false">
      <c r="A118" s="2" t="s">
        <v>279</v>
      </c>
      <c r="B118" s="3" t="n">
        <v>45811</v>
      </c>
      <c r="C118" s="4" t="s">
        <v>280</v>
      </c>
      <c r="D118" s="2" t="s">
        <v>18</v>
      </c>
      <c r="E118" s="5" t="s">
        <v>12</v>
      </c>
      <c r="F118" s="2" t="s">
        <v>20</v>
      </c>
      <c r="G118" s="6" t="n">
        <v>377837</v>
      </c>
      <c r="H118" s="2" t="s">
        <v>281</v>
      </c>
      <c r="I118" s="2" t="s">
        <v>15</v>
      </c>
    </row>
    <row r="119" customFormat="false" ht="23.85" hidden="false" customHeight="false" outlineLevel="0" collapsed="false">
      <c r="A119" s="2" t="s">
        <v>282</v>
      </c>
      <c r="B119" s="3" t="n">
        <v>45815</v>
      </c>
      <c r="C119" s="4" t="s">
        <v>283</v>
      </c>
      <c r="D119" s="2" t="s">
        <v>49</v>
      </c>
      <c r="E119" s="7" t="s">
        <v>19</v>
      </c>
      <c r="F119" s="2" t="s">
        <v>20</v>
      </c>
      <c r="G119" s="6" t="n">
        <v>30244</v>
      </c>
      <c r="H119" s="2" t="s">
        <v>126</v>
      </c>
      <c r="I119" s="2" t="s">
        <v>62</v>
      </c>
    </row>
    <row r="120" customFormat="false" ht="23.85" hidden="false" customHeight="false" outlineLevel="0" collapsed="false">
      <c r="A120" s="2" t="s">
        <v>284</v>
      </c>
      <c r="B120" s="3" t="n">
        <v>45819</v>
      </c>
      <c r="C120" s="4" t="s">
        <v>171</v>
      </c>
      <c r="D120" s="2" t="s">
        <v>30</v>
      </c>
      <c r="E120" s="5" t="s">
        <v>12</v>
      </c>
      <c r="F120" s="2" t="s">
        <v>109</v>
      </c>
      <c r="G120" s="6" t="n">
        <v>221948</v>
      </c>
      <c r="H120" s="2" t="s">
        <v>21</v>
      </c>
      <c r="I120" s="2" t="s">
        <v>62</v>
      </c>
    </row>
    <row r="121" customFormat="false" ht="23.85" hidden="false" customHeight="false" outlineLevel="0" collapsed="false">
      <c r="A121" s="2" t="s">
        <v>285</v>
      </c>
      <c r="B121" s="3" t="n">
        <v>45821</v>
      </c>
      <c r="C121" s="4" t="s">
        <v>286</v>
      </c>
      <c r="D121" s="2" t="s">
        <v>69</v>
      </c>
      <c r="E121" s="7" t="s">
        <v>19</v>
      </c>
      <c r="F121" s="2" t="s">
        <v>26</v>
      </c>
      <c r="G121" s="6" t="n">
        <v>13410</v>
      </c>
      <c r="H121" s="2" t="s">
        <v>87</v>
      </c>
      <c r="I121" s="2" t="s">
        <v>15</v>
      </c>
    </row>
    <row r="122" customFormat="false" ht="23.85" hidden="false" customHeight="false" outlineLevel="0" collapsed="false">
      <c r="A122" s="2" t="s">
        <v>287</v>
      </c>
      <c r="B122" s="3" t="n">
        <v>45823</v>
      </c>
      <c r="C122" s="4" t="s">
        <v>135</v>
      </c>
      <c r="D122" s="2" t="s">
        <v>55</v>
      </c>
      <c r="E122" s="5" t="s">
        <v>12</v>
      </c>
      <c r="F122" s="2" t="s">
        <v>65</v>
      </c>
      <c r="G122" s="6" t="n">
        <v>493512</v>
      </c>
      <c r="H122" s="2" t="s">
        <v>61</v>
      </c>
      <c r="I122" s="2" t="s">
        <v>62</v>
      </c>
    </row>
    <row r="123" customFormat="false" ht="23.85" hidden="false" customHeight="false" outlineLevel="0" collapsed="false">
      <c r="A123" s="2" t="s">
        <v>288</v>
      </c>
      <c r="B123" s="3" t="n">
        <v>45835</v>
      </c>
      <c r="C123" s="4" t="s">
        <v>183</v>
      </c>
      <c r="D123" s="2" t="s">
        <v>36</v>
      </c>
      <c r="E123" s="8" t="s">
        <v>25</v>
      </c>
      <c r="F123" s="2" t="s">
        <v>31</v>
      </c>
      <c r="G123" s="6" t="n">
        <v>1907</v>
      </c>
      <c r="H123" s="2" t="s">
        <v>181</v>
      </c>
      <c r="I123" s="2" t="s">
        <v>27</v>
      </c>
    </row>
    <row r="124" customFormat="false" ht="23.85" hidden="false" customHeight="false" outlineLevel="0" collapsed="false">
      <c r="A124" s="2" t="s">
        <v>289</v>
      </c>
      <c r="B124" s="3" t="n">
        <v>45836</v>
      </c>
      <c r="C124" s="4" t="s">
        <v>167</v>
      </c>
      <c r="D124" s="2" t="s">
        <v>30</v>
      </c>
      <c r="E124" s="8" t="s">
        <v>25</v>
      </c>
      <c r="F124" s="2" t="s">
        <v>45</v>
      </c>
      <c r="G124" s="6" t="n">
        <v>3369</v>
      </c>
      <c r="H124" s="2" t="s">
        <v>46</v>
      </c>
      <c r="I124" s="2" t="s">
        <v>27</v>
      </c>
    </row>
    <row r="125" customFormat="false" ht="23.85" hidden="false" customHeight="false" outlineLevel="0" collapsed="false">
      <c r="A125" s="2" t="s">
        <v>290</v>
      </c>
      <c r="B125" s="3" t="n">
        <v>45841</v>
      </c>
      <c r="C125" s="4" t="s">
        <v>291</v>
      </c>
      <c r="D125" s="2" t="s">
        <v>69</v>
      </c>
      <c r="E125" s="8" t="s">
        <v>25</v>
      </c>
      <c r="F125" s="2" t="s">
        <v>74</v>
      </c>
      <c r="G125" s="6" t="n">
        <v>1148</v>
      </c>
      <c r="H125" s="2" t="s">
        <v>32</v>
      </c>
      <c r="I125" s="2" t="s">
        <v>62</v>
      </c>
    </row>
    <row r="126" customFormat="false" ht="23.85" hidden="false" customHeight="false" outlineLevel="0" collapsed="false">
      <c r="A126" s="2" t="s">
        <v>292</v>
      </c>
      <c r="B126" s="3" t="n">
        <v>45852</v>
      </c>
      <c r="C126" s="4" t="s">
        <v>293</v>
      </c>
      <c r="D126" s="2" t="s">
        <v>18</v>
      </c>
      <c r="E126" s="5" t="s">
        <v>12</v>
      </c>
      <c r="F126" s="2" t="s">
        <v>20</v>
      </c>
      <c r="G126" s="6" t="n">
        <v>227183</v>
      </c>
      <c r="H126" s="2" t="s">
        <v>158</v>
      </c>
      <c r="I126" s="2" t="s">
        <v>15</v>
      </c>
    </row>
    <row r="127" customFormat="false" ht="23.85" hidden="false" customHeight="false" outlineLevel="0" collapsed="false">
      <c r="A127" s="2" t="s">
        <v>294</v>
      </c>
      <c r="B127" s="3" t="n">
        <v>45854</v>
      </c>
      <c r="C127" s="4" t="s">
        <v>295</v>
      </c>
      <c r="D127" s="2" t="s">
        <v>41</v>
      </c>
      <c r="E127" s="7" t="s">
        <v>19</v>
      </c>
      <c r="F127" s="2" t="s">
        <v>109</v>
      </c>
      <c r="G127" s="6" t="n">
        <v>23876</v>
      </c>
      <c r="H127" s="2" t="s">
        <v>206</v>
      </c>
      <c r="I127" s="2" t="s">
        <v>15</v>
      </c>
    </row>
    <row r="128" customFormat="false" ht="23.85" hidden="false" customHeight="false" outlineLevel="0" collapsed="false">
      <c r="A128" s="2" t="s">
        <v>296</v>
      </c>
      <c r="B128" s="3" t="n">
        <v>45855</v>
      </c>
      <c r="C128" s="4" t="s">
        <v>130</v>
      </c>
      <c r="D128" s="2" t="s">
        <v>11</v>
      </c>
      <c r="E128" s="5" t="s">
        <v>12</v>
      </c>
      <c r="F128" s="2" t="s">
        <v>45</v>
      </c>
      <c r="G128" s="6" t="n">
        <v>202233</v>
      </c>
      <c r="H128" s="2" t="s">
        <v>14</v>
      </c>
      <c r="I128" s="2" t="s">
        <v>15</v>
      </c>
    </row>
    <row r="129" customFormat="false" ht="23.85" hidden="false" customHeight="false" outlineLevel="0" collapsed="false">
      <c r="A129" s="2" t="s">
        <v>297</v>
      </c>
      <c r="B129" s="3" t="n">
        <v>45863</v>
      </c>
      <c r="C129" s="4" t="s">
        <v>298</v>
      </c>
      <c r="D129" s="2" t="s">
        <v>55</v>
      </c>
      <c r="E129" s="8" t="s">
        <v>25</v>
      </c>
      <c r="F129" s="2" t="s">
        <v>84</v>
      </c>
      <c r="G129" s="6" t="n">
        <v>2327</v>
      </c>
      <c r="H129" s="2" t="s">
        <v>56</v>
      </c>
      <c r="I129" s="2" t="s">
        <v>15</v>
      </c>
    </row>
    <row r="130" customFormat="false" ht="23.85" hidden="false" customHeight="false" outlineLevel="0" collapsed="false">
      <c r="A130" s="2" t="s">
        <v>299</v>
      </c>
      <c r="B130" s="3" t="n">
        <v>45867</v>
      </c>
      <c r="C130" s="4" t="s">
        <v>68</v>
      </c>
      <c r="D130" s="2" t="s">
        <v>69</v>
      </c>
      <c r="E130" s="9" t="s">
        <v>44</v>
      </c>
      <c r="F130" s="2" t="s">
        <v>84</v>
      </c>
      <c r="G130" s="6" t="n">
        <v>3993921</v>
      </c>
      <c r="H130" s="2" t="s">
        <v>87</v>
      </c>
      <c r="I130" s="2" t="s">
        <v>22</v>
      </c>
    </row>
    <row r="131" customFormat="false" ht="23.85" hidden="false" customHeight="false" outlineLevel="0" collapsed="false">
      <c r="A131" s="2" t="s">
        <v>300</v>
      </c>
      <c r="B131" s="3" t="n">
        <v>45875</v>
      </c>
      <c r="C131" s="4" t="s">
        <v>301</v>
      </c>
      <c r="D131" s="2" t="s">
        <v>36</v>
      </c>
      <c r="E131" s="9" t="s">
        <v>44</v>
      </c>
      <c r="F131" s="2" t="s">
        <v>37</v>
      </c>
      <c r="G131" s="6" t="n">
        <v>3679192</v>
      </c>
      <c r="H131" s="2" t="s">
        <v>178</v>
      </c>
      <c r="I131" s="2" t="s">
        <v>27</v>
      </c>
    </row>
    <row r="132" customFormat="false" ht="23.85" hidden="false" customHeight="false" outlineLevel="0" collapsed="false">
      <c r="A132" s="2" t="s">
        <v>302</v>
      </c>
      <c r="B132" s="3" t="n">
        <v>45876</v>
      </c>
      <c r="C132" s="4" t="s">
        <v>71</v>
      </c>
      <c r="D132" s="2" t="s">
        <v>30</v>
      </c>
      <c r="E132" s="5" t="s">
        <v>12</v>
      </c>
      <c r="F132" s="2" t="s">
        <v>74</v>
      </c>
      <c r="G132" s="6" t="n">
        <v>292053</v>
      </c>
      <c r="H132" s="2" t="s">
        <v>21</v>
      </c>
      <c r="I132" s="2" t="s">
        <v>15</v>
      </c>
    </row>
    <row r="133" customFormat="false" ht="23.85" hidden="false" customHeight="false" outlineLevel="0" collapsed="false">
      <c r="A133" s="2" t="s">
        <v>303</v>
      </c>
      <c r="B133" s="3" t="n">
        <v>45877</v>
      </c>
      <c r="C133" s="4" t="s">
        <v>304</v>
      </c>
      <c r="D133" s="2" t="s">
        <v>49</v>
      </c>
      <c r="E133" s="7" t="s">
        <v>19</v>
      </c>
      <c r="F133" s="2" t="s">
        <v>26</v>
      </c>
      <c r="G133" s="6" t="n">
        <v>42670</v>
      </c>
      <c r="H133" s="2" t="s">
        <v>21</v>
      </c>
      <c r="I133" s="2" t="s">
        <v>33</v>
      </c>
    </row>
    <row r="134" customFormat="false" ht="23.85" hidden="false" customHeight="false" outlineLevel="0" collapsed="false">
      <c r="A134" s="2" t="s">
        <v>305</v>
      </c>
      <c r="B134" s="3" t="n">
        <v>45879</v>
      </c>
      <c r="C134" s="4" t="s">
        <v>125</v>
      </c>
      <c r="D134" s="2" t="s">
        <v>49</v>
      </c>
      <c r="E134" s="5" t="s">
        <v>12</v>
      </c>
      <c r="F134" s="2" t="s">
        <v>31</v>
      </c>
      <c r="G134" s="6" t="n">
        <v>473216</v>
      </c>
      <c r="H134" s="2" t="s">
        <v>112</v>
      </c>
      <c r="I134" s="2" t="s">
        <v>15</v>
      </c>
    </row>
    <row r="135" customFormat="false" ht="23.85" hidden="false" customHeight="false" outlineLevel="0" collapsed="false">
      <c r="A135" s="2" t="s">
        <v>306</v>
      </c>
      <c r="B135" s="3" t="n">
        <v>45879</v>
      </c>
      <c r="C135" s="4" t="s">
        <v>307</v>
      </c>
      <c r="D135" s="2" t="s">
        <v>18</v>
      </c>
      <c r="E135" s="5" t="s">
        <v>12</v>
      </c>
      <c r="F135" s="2" t="s">
        <v>20</v>
      </c>
      <c r="G135" s="6" t="n">
        <v>169749</v>
      </c>
      <c r="H135" s="2" t="s">
        <v>212</v>
      </c>
      <c r="I135" s="2" t="s">
        <v>27</v>
      </c>
    </row>
    <row r="136" customFormat="false" ht="23.85" hidden="false" customHeight="false" outlineLevel="0" collapsed="false">
      <c r="A136" s="2" t="s">
        <v>308</v>
      </c>
      <c r="B136" s="3" t="n">
        <v>45885</v>
      </c>
      <c r="C136" s="4" t="s">
        <v>309</v>
      </c>
      <c r="D136" s="2" t="s">
        <v>11</v>
      </c>
      <c r="E136" s="7" t="s">
        <v>19</v>
      </c>
      <c r="F136" s="2" t="s">
        <v>37</v>
      </c>
      <c r="G136" s="6" t="n">
        <v>47906</v>
      </c>
      <c r="H136" s="2" t="s">
        <v>14</v>
      </c>
      <c r="I136" s="2" t="s">
        <v>22</v>
      </c>
    </row>
    <row r="137" customFormat="false" ht="23.85" hidden="false" customHeight="false" outlineLevel="0" collapsed="false">
      <c r="A137" s="2" t="s">
        <v>310</v>
      </c>
      <c r="B137" s="3" t="n">
        <v>45889</v>
      </c>
      <c r="C137" s="4" t="s">
        <v>311</v>
      </c>
      <c r="D137" s="2" t="s">
        <v>49</v>
      </c>
      <c r="E137" s="7" t="s">
        <v>19</v>
      </c>
      <c r="F137" s="2" t="s">
        <v>84</v>
      </c>
      <c r="G137" s="6" t="n">
        <v>28723</v>
      </c>
      <c r="H137" s="2" t="s">
        <v>126</v>
      </c>
      <c r="I137" s="2" t="s">
        <v>33</v>
      </c>
    </row>
    <row r="138" customFormat="false" ht="23.85" hidden="false" customHeight="false" outlineLevel="0" collapsed="false">
      <c r="A138" s="2" t="s">
        <v>312</v>
      </c>
      <c r="B138" s="3" t="n">
        <v>45889</v>
      </c>
      <c r="C138" s="4" t="s">
        <v>140</v>
      </c>
      <c r="D138" s="2" t="s">
        <v>11</v>
      </c>
      <c r="E138" s="9" t="s">
        <v>44</v>
      </c>
      <c r="F138" s="2" t="s">
        <v>65</v>
      </c>
      <c r="G138" s="6" t="n">
        <v>723532</v>
      </c>
      <c r="H138" s="2" t="s">
        <v>100</v>
      </c>
      <c r="I138" s="2" t="s">
        <v>62</v>
      </c>
    </row>
    <row r="139" customFormat="false" ht="23.85" hidden="false" customHeight="false" outlineLevel="0" collapsed="false">
      <c r="A139" s="2" t="s">
        <v>313</v>
      </c>
      <c r="B139" s="3" t="n">
        <v>45900</v>
      </c>
      <c r="C139" s="4" t="s">
        <v>142</v>
      </c>
      <c r="D139" s="2" t="s">
        <v>55</v>
      </c>
      <c r="E139" s="8" t="s">
        <v>25</v>
      </c>
      <c r="F139" s="2" t="s">
        <v>13</v>
      </c>
      <c r="G139" s="6" t="n">
        <v>671</v>
      </c>
      <c r="H139" s="2" t="s">
        <v>66</v>
      </c>
      <c r="I139" s="2" t="s">
        <v>22</v>
      </c>
    </row>
    <row r="140" customFormat="false" ht="23.85" hidden="false" customHeight="false" outlineLevel="0" collapsed="false">
      <c r="A140" s="2" t="s">
        <v>314</v>
      </c>
      <c r="B140" s="3" t="n">
        <v>45900</v>
      </c>
      <c r="C140" s="4" t="s">
        <v>315</v>
      </c>
      <c r="D140" s="2" t="s">
        <v>18</v>
      </c>
      <c r="E140" s="7" t="s">
        <v>19</v>
      </c>
      <c r="F140" s="2" t="s">
        <v>74</v>
      </c>
      <c r="G140" s="6" t="n">
        <v>24087</v>
      </c>
      <c r="H140" s="2" t="s">
        <v>212</v>
      </c>
      <c r="I140" s="2" t="s">
        <v>62</v>
      </c>
    </row>
    <row r="141" customFormat="false" ht="23.85" hidden="false" customHeight="false" outlineLevel="0" collapsed="false">
      <c r="A141" s="2" t="s">
        <v>316</v>
      </c>
      <c r="B141" s="3" t="n">
        <v>45902</v>
      </c>
      <c r="C141" s="4" t="s">
        <v>317</v>
      </c>
      <c r="D141" s="2" t="s">
        <v>55</v>
      </c>
      <c r="E141" s="7" t="s">
        <v>19</v>
      </c>
      <c r="F141" s="2" t="s">
        <v>20</v>
      </c>
      <c r="G141" s="6" t="n">
        <v>39439</v>
      </c>
      <c r="H141" s="2" t="s">
        <v>66</v>
      </c>
      <c r="I141" s="2" t="s">
        <v>22</v>
      </c>
    </row>
    <row r="142" customFormat="false" ht="23.85" hidden="false" customHeight="false" outlineLevel="0" collapsed="false">
      <c r="A142" s="2" t="s">
        <v>318</v>
      </c>
      <c r="B142" s="3" t="n">
        <v>45909</v>
      </c>
      <c r="C142" s="4" t="s">
        <v>319</v>
      </c>
      <c r="D142" s="2" t="s">
        <v>41</v>
      </c>
      <c r="E142" s="7" t="s">
        <v>19</v>
      </c>
      <c r="F142" s="2" t="s">
        <v>20</v>
      </c>
      <c r="G142" s="6" t="n">
        <v>26957</v>
      </c>
      <c r="H142" s="2" t="s">
        <v>81</v>
      </c>
      <c r="I142" s="2" t="s">
        <v>22</v>
      </c>
    </row>
    <row r="143" customFormat="false" ht="23.85" hidden="false" customHeight="false" outlineLevel="0" collapsed="false">
      <c r="A143" s="2" t="s">
        <v>320</v>
      </c>
      <c r="B143" s="3" t="n">
        <v>45911</v>
      </c>
      <c r="C143" s="4" t="s">
        <v>321</v>
      </c>
      <c r="D143" s="2" t="s">
        <v>11</v>
      </c>
      <c r="E143" s="5" t="s">
        <v>12</v>
      </c>
      <c r="F143" s="2" t="s">
        <v>26</v>
      </c>
      <c r="G143" s="6" t="n">
        <v>491728</v>
      </c>
      <c r="H143" s="2" t="s">
        <v>119</v>
      </c>
      <c r="I143" s="2" t="s">
        <v>15</v>
      </c>
    </row>
    <row r="144" customFormat="false" ht="23.85" hidden="false" customHeight="false" outlineLevel="0" collapsed="false">
      <c r="A144" s="2" t="s">
        <v>322</v>
      </c>
      <c r="B144" s="3" t="n">
        <v>45911</v>
      </c>
      <c r="C144" s="4" t="s">
        <v>10</v>
      </c>
      <c r="D144" s="2" t="s">
        <v>11</v>
      </c>
      <c r="E144" s="7" t="s">
        <v>19</v>
      </c>
      <c r="F144" s="2" t="s">
        <v>37</v>
      </c>
      <c r="G144" s="6" t="n">
        <v>7591</v>
      </c>
      <c r="H144" s="2" t="s">
        <v>119</v>
      </c>
      <c r="I144" s="2" t="s">
        <v>62</v>
      </c>
    </row>
    <row r="145" customFormat="false" ht="23.85" hidden="false" customHeight="false" outlineLevel="0" collapsed="false">
      <c r="A145" s="2" t="s">
        <v>323</v>
      </c>
      <c r="B145" s="3" t="n">
        <v>45928</v>
      </c>
      <c r="C145" s="4" t="s">
        <v>324</v>
      </c>
      <c r="D145" s="2" t="s">
        <v>49</v>
      </c>
      <c r="E145" s="8" t="s">
        <v>25</v>
      </c>
      <c r="F145" s="2" t="s">
        <v>37</v>
      </c>
      <c r="G145" s="6" t="n">
        <v>819</v>
      </c>
      <c r="H145" s="2" t="s">
        <v>50</v>
      </c>
      <c r="I145" s="2" t="s">
        <v>22</v>
      </c>
    </row>
    <row r="146" customFormat="false" ht="23.85" hidden="false" customHeight="false" outlineLevel="0" collapsed="false">
      <c r="A146" s="2" t="s">
        <v>325</v>
      </c>
      <c r="B146" s="3" t="n">
        <v>45942</v>
      </c>
      <c r="C146" s="4" t="s">
        <v>326</v>
      </c>
      <c r="D146" s="2" t="s">
        <v>49</v>
      </c>
      <c r="E146" s="7" t="s">
        <v>19</v>
      </c>
      <c r="F146" s="2" t="s">
        <v>26</v>
      </c>
      <c r="G146" s="6" t="n">
        <v>15659</v>
      </c>
      <c r="H146" s="2" t="s">
        <v>21</v>
      </c>
      <c r="I146" s="2" t="s">
        <v>22</v>
      </c>
    </row>
    <row r="147" customFormat="false" ht="23.85" hidden="false" customHeight="false" outlineLevel="0" collapsed="false">
      <c r="A147" s="2" t="s">
        <v>327</v>
      </c>
      <c r="B147" s="3" t="n">
        <v>45950</v>
      </c>
      <c r="C147" s="4" t="s">
        <v>114</v>
      </c>
      <c r="D147" s="2" t="s">
        <v>55</v>
      </c>
      <c r="E147" s="9" t="s">
        <v>44</v>
      </c>
      <c r="F147" s="2" t="s">
        <v>84</v>
      </c>
      <c r="G147" s="6" t="n">
        <v>4899515</v>
      </c>
      <c r="H147" s="2" t="s">
        <v>56</v>
      </c>
      <c r="I147" s="2" t="s">
        <v>22</v>
      </c>
    </row>
    <row r="148" customFormat="false" ht="23.85" hidden="false" customHeight="false" outlineLevel="0" collapsed="false">
      <c r="A148" s="2" t="s">
        <v>328</v>
      </c>
      <c r="B148" s="3" t="n">
        <v>45953</v>
      </c>
      <c r="C148" s="4" t="s">
        <v>237</v>
      </c>
      <c r="D148" s="2" t="s">
        <v>49</v>
      </c>
      <c r="E148" s="7" t="s">
        <v>19</v>
      </c>
      <c r="F148" s="2" t="s">
        <v>13</v>
      </c>
      <c r="G148" s="6" t="n">
        <v>10862</v>
      </c>
      <c r="H148" s="2" t="s">
        <v>126</v>
      </c>
      <c r="I148" s="2" t="s">
        <v>22</v>
      </c>
    </row>
    <row r="149" customFormat="false" ht="23.85" hidden="false" customHeight="false" outlineLevel="0" collapsed="false">
      <c r="A149" s="2" t="s">
        <v>329</v>
      </c>
      <c r="B149" s="3" t="n">
        <v>45955</v>
      </c>
      <c r="C149" s="4" t="s">
        <v>216</v>
      </c>
      <c r="D149" s="2" t="s">
        <v>30</v>
      </c>
      <c r="E149" s="5" t="s">
        <v>12</v>
      </c>
      <c r="F149" s="2" t="s">
        <v>20</v>
      </c>
      <c r="G149" s="6" t="n">
        <v>405016</v>
      </c>
      <c r="H149" s="2" t="s">
        <v>145</v>
      </c>
      <c r="I149" s="2" t="s">
        <v>15</v>
      </c>
    </row>
    <row r="150" customFormat="false" ht="23.85" hidden="false" customHeight="false" outlineLevel="0" collapsed="false">
      <c r="A150" s="2" t="s">
        <v>330</v>
      </c>
      <c r="B150" s="3" t="n">
        <v>45958</v>
      </c>
      <c r="C150" s="4" t="s">
        <v>331</v>
      </c>
      <c r="D150" s="2" t="s">
        <v>18</v>
      </c>
      <c r="E150" s="5" t="s">
        <v>12</v>
      </c>
      <c r="F150" s="2" t="s">
        <v>45</v>
      </c>
      <c r="G150" s="6" t="n">
        <v>427927</v>
      </c>
      <c r="H150" s="2" t="s">
        <v>21</v>
      </c>
      <c r="I150" s="2" t="s">
        <v>22</v>
      </c>
    </row>
    <row r="151" customFormat="false" ht="23.85" hidden="false" customHeight="false" outlineLevel="0" collapsed="false">
      <c r="A151" s="2" t="s">
        <v>332</v>
      </c>
      <c r="B151" s="3" t="n">
        <v>45959</v>
      </c>
      <c r="C151" s="4" t="s">
        <v>333</v>
      </c>
      <c r="D151" s="2" t="s">
        <v>69</v>
      </c>
      <c r="E151" s="5" t="s">
        <v>12</v>
      </c>
      <c r="F151" s="2" t="s">
        <v>13</v>
      </c>
      <c r="G151" s="6" t="n">
        <v>445435</v>
      </c>
      <c r="H151" s="2" t="s">
        <v>194</v>
      </c>
      <c r="I151" s="2" t="s">
        <v>15</v>
      </c>
    </row>
    <row r="152" customFormat="false" ht="23.85" hidden="false" customHeight="false" outlineLevel="0" collapsed="false">
      <c r="A152" s="2" t="s">
        <v>334</v>
      </c>
      <c r="B152" s="3" t="n">
        <v>45965</v>
      </c>
      <c r="C152" s="4" t="s">
        <v>43</v>
      </c>
      <c r="D152" s="2" t="s">
        <v>30</v>
      </c>
      <c r="E152" s="7" t="s">
        <v>19</v>
      </c>
      <c r="F152" s="2" t="s">
        <v>84</v>
      </c>
      <c r="G152" s="6" t="n">
        <v>30924</v>
      </c>
      <c r="H152" s="2" t="s">
        <v>46</v>
      </c>
      <c r="I152" s="2" t="s">
        <v>15</v>
      </c>
    </row>
    <row r="153" customFormat="false" ht="23.85" hidden="false" customHeight="false" outlineLevel="0" collapsed="false">
      <c r="A153" s="2" t="s">
        <v>335</v>
      </c>
      <c r="B153" s="3" t="n">
        <v>45966</v>
      </c>
      <c r="C153" s="4" t="s">
        <v>336</v>
      </c>
      <c r="D153" s="2" t="s">
        <v>18</v>
      </c>
      <c r="E153" s="5" t="s">
        <v>12</v>
      </c>
      <c r="F153" s="2" t="s">
        <v>65</v>
      </c>
      <c r="G153" s="6" t="n">
        <v>157712</v>
      </c>
      <c r="H153" s="2" t="s">
        <v>21</v>
      </c>
      <c r="I153" s="2" t="s">
        <v>15</v>
      </c>
    </row>
    <row r="154" customFormat="false" ht="23.85" hidden="false" customHeight="false" outlineLevel="0" collapsed="false">
      <c r="A154" s="2" t="s">
        <v>337</v>
      </c>
      <c r="B154" s="3" t="n">
        <v>45981</v>
      </c>
      <c r="C154" s="4" t="s">
        <v>338</v>
      </c>
      <c r="D154" s="2" t="s">
        <v>36</v>
      </c>
      <c r="E154" s="7" t="s">
        <v>19</v>
      </c>
      <c r="F154" s="2" t="s">
        <v>65</v>
      </c>
      <c r="G154" s="6" t="n">
        <v>45270</v>
      </c>
      <c r="H154" s="2" t="s">
        <v>181</v>
      </c>
      <c r="I154" s="2" t="s">
        <v>22</v>
      </c>
    </row>
    <row r="155" customFormat="false" ht="23.85" hidden="false" customHeight="false" outlineLevel="0" collapsed="false">
      <c r="A155" s="2" t="s">
        <v>339</v>
      </c>
      <c r="B155" s="3" t="n">
        <v>45985</v>
      </c>
      <c r="C155" s="4" t="s">
        <v>340</v>
      </c>
      <c r="D155" s="2" t="s">
        <v>69</v>
      </c>
      <c r="E155" s="9" t="s">
        <v>44</v>
      </c>
      <c r="F155" s="2" t="s">
        <v>45</v>
      </c>
      <c r="G155" s="6" t="n">
        <v>1825195</v>
      </c>
      <c r="H155" s="2" t="s">
        <v>194</v>
      </c>
      <c r="I155" s="2" t="s">
        <v>22</v>
      </c>
    </row>
    <row r="156" customFormat="false" ht="23.85" hidden="false" customHeight="false" outlineLevel="0" collapsed="false">
      <c r="A156" s="2" t="s">
        <v>341</v>
      </c>
      <c r="B156" s="3" t="n">
        <v>45986</v>
      </c>
      <c r="C156" s="4" t="s">
        <v>193</v>
      </c>
      <c r="D156" s="2" t="s">
        <v>69</v>
      </c>
      <c r="E156" s="7" t="s">
        <v>19</v>
      </c>
      <c r="F156" s="2" t="s">
        <v>37</v>
      </c>
      <c r="G156" s="6" t="n">
        <v>36891</v>
      </c>
      <c r="H156" s="2" t="s">
        <v>81</v>
      </c>
      <c r="I156" s="2" t="s">
        <v>27</v>
      </c>
    </row>
    <row r="157" customFormat="false" ht="23.85" hidden="false" customHeight="false" outlineLevel="0" collapsed="false">
      <c r="A157" s="2" t="s">
        <v>342</v>
      </c>
      <c r="B157" s="3" t="n">
        <v>45988</v>
      </c>
      <c r="C157" s="4" t="s">
        <v>343</v>
      </c>
      <c r="D157" s="2" t="s">
        <v>49</v>
      </c>
      <c r="E157" s="7" t="s">
        <v>19</v>
      </c>
      <c r="F157" s="2" t="s">
        <v>31</v>
      </c>
      <c r="G157" s="6" t="n">
        <v>43217</v>
      </c>
      <c r="H157" s="2" t="s">
        <v>112</v>
      </c>
      <c r="I157" s="2" t="s">
        <v>27</v>
      </c>
    </row>
    <row r="158" customFormat="false" ht="23.85" hidden="false" customHeight="false" outlineLevel="0" collapsed="false">
      <c r="A158" s="2" t="s">
        <v>344</v>
      </c>
      <c r="B158" s="3" t="n">
        <v>45993</v>
      </c>
      <c r="C158" s="4" t="s">
        <v>345</v>
      </c>
      <c r="D158" s="2" t="s">
        <v>30</v>
      </c>
      <c r="E158" s="5" t="s">
        <v>12</v>
      </c>
      <c r="F158" s="2" t="s">
        <v>26</v>
      </c>
      <c r="G158" s="6" t="n">
        <v>184913</v>
      </c>
      <c r="H158" s="2" t="s">
        <v>32</v>
      </c>
      <c r="I158" s="2" t="s">
        <v>33</v>
      </c>
    </row>
    <row r="159" customFormat="false" ht="23.85" hidden="false" customHeight="false" outlineLevel="0" collapsed="false">
      <c r="A159" s="2" t="s">
        <v>346</v>
      </c>
      <c r="B159" s="3" t="n">
        <v>45993</v>
      </c>
      <c r="C159" s="4" t="s">
        <v>336</v>
      </c>
      <c r="D159" s="2" t="s">
        <v>18</v>
      </c>
      <c r="E159" s="7" t="s">
        <v>19</v>
      </c>
      <c r="F159" s="2" t="s">
        <v>84</v>
      </c>
      <c r="G159" s="6" t="n">
        <v>16108</v>
      </c>
      <c r="H159" s="2" t="s">
        <v>21</v>
      </c>
      <c r="I159" s="2" t="s">
        <v>62</v>
      </c>
    </row>
    <row r="160" customFormat="false" ht="23.85" hidden="false" customHeight="false" outlineLevel="0" collapsed="false">
      <c r="A160" s="2" t="s">
        <v>347</v>
      </c>
      <c r="B160" s="3" t="n">
        <v>45995</v>
      </c>
      <c r="C160" s="4" t="s">
        <v>216</v>
      </c>
      <c r="D160" s="2" t="s">
        <v>30</v>
      </c>
      <c r="E160" s="9" t="s">
        <v>44</v>
      </c>
      <c r="F160" s="2" t="s">
        <v>74</v>
      </c>
      <c r="G160" s="6" t="n">
        <v>1063155</v>
      </c>
      <c r="H160" s="2" t="s">
        <v>46</v>
      </c>
      <c r="I160" s="2" t="s">
        <v>15</v>
      </c>
    </row>
    <row r="161" customFormat="false" ht="23.85" hidden="false" customHeight="false" outlineLevel="0" collapsed="false">
      <c r="A161" s="2" t="s">
        <v>348</v>
      </c>
      <c r="B161" s="3" t="n">
        <v>45998</v>
      </c>
      <c r="C161" s="4" t="s">
        <v>349</v>
      </c>
      <c r="D161" s="2" t="s">
        <v>18</v>
      </c>
      <c r="E161" s="5" t="s">
        <v>12</v>
      </c>
      <c r="F161" s="2" t="s">
        <v>31</v>
      </c>
      <c r="G161" s="6" t="n">
        <v>423790</v>
      </c>
      <c r="H161" s="2" t="s">
        <v>281</v>
      </c>
      <c r="I161" s="2" t="s">
        <v>22</v>
      </c>
    </row>
    <row r="162" customFormat="false" ht="23.85" hidden="false" customHeight="false" outlineLevel="0" collapsed="false">
      <c r="A162" s="2" t="s">
        <v>350</v>
      </c>
      <c r="B162" s="3" t="n">
        <v>46000</v>
      </c>
      <c r="C162" s="4" t="s">
        <v>351</v>
      </c>
      <c r="D162" s="2" t="s">
        <v>55</v>
      </c>
      <c r="E162" s="5" t="s">
        <v>12</v>
      </c>
      <c r="F162" s="2" t="s">
        <v>37</v>
      </c>
      <c r="G162" s="6" t="n">
        <v>299299</v>
      </c>
      <c r="H162" s="2" t="s">
        <v>56</v>
      </c>
      <c r="I162" s="2" t="s">
        <v>27</v>
      </c>
    </row>
    <row r="163" customFormat="false" ht="23.85" hidden="false" customHeight="false" outlineLevel="0" collapsed="false">
      <c r="A163" s="2" t="s">
        <v>352</v>
      </c>
      <c r="B163" s="3" t="n">
        <v>46006</v>
      </c>
      <c r="C163" s="4" t="s">
        <v>353</v>
      </c>
      <c r="D163" s="2" t="s">
        <v>30</v>
      </c>
      <c r="E163" s="5" t="s">
        <v>12</v>
      </c>
      <c r="F163" s="2" t="s">
        <v>109</v>
      </c>
      <c r="G163" s="6" t="n">
        <v>384427</v>
      </c>
      <c r="H163" s="2" t="s">
        <v>32</v>
      </c>
      <c r="I163" s="2" t="s">
        <v>27</v>
      </c>
    </row>
    <row r="164" customFormat="false" ht="23.85" hidden="false" customHeight="false" outlineLevel="0" collapsed="false">
      <c r="A164" s="2" t="s">
        <v>354</v>
      </c>
      <c r="B164" s="3" t="n">
        <v>46012</v>
      </c>
      <c r="C164" s="4" t="s">
        <v>338</v>
      </c>
      <c r="D164" s="2" t="s">
        <v>36</v>
      </c>
      <c r="E164" s="9" t="s">
        <v>44</v>
      </c>
      <c r="F164" s="2" t="s">
        <v>20</v>
      </c>
      <c r="G164" s="6" t="n">
        <v>4221845</v>
      </c>
      <c r="H164" s="2" t="s">
        <v>38</v>
      </c>
      <c r="I164" s="2" t="s">
        <v>22</v>
      </c>
    </row>
    <row r="165" customFormat="false" ht="23.85" hidden="false" customHeight="false" outlineLevel="0" collapsed="false">
      <c r="A165" s="2" t="s">
        <v>355</v>
      </c>
      <c r="B165" s="3" t="n">
        <v>46012</v>
      </c>
      <c r="C165" s="4" t="s">
        <v>171</v>
      </c>
      <c r="D165" s="2" t="s">
        <v>30</v>
      </c>
      <c r="E165" s="5" t="s">
        <v>12</v>
      </c>
      <c r="F165" s="2" t="s">
        <v>31</v>
      </c>
      <c r="G165" s="6" t="n">
        <v>257949</v>
      </c>
      <c r="H165" s="2" t="s">
        <v>145</v>
      </c>
      <c r="I165" s="2" t="s">
        <v>22</v>
      </c>
    </row>
    <row r="166" customFormat="false" ht="23.85" hidden="false" customHeight="false" outlineLevel="0" collapsed="false">
      <c r="A166" s="2" t="s">
        <v>356</v>
      </c>
      <c r="B166" s="3" t="n">
        <v>46016</v>
      </c>
      <c r="C166" s="4" t="s">
        <v>357</v>
      </c>
      <c r="D166" s="2" t="s">
        <v>69</v>
      </c>
      <c r="E166" s="8" t="s">
        <v>25</v>
      </c>
      <c r="F166" s="2" t="s">
        <v>109</v>
      </c>
      <c r="G166" s="6" t="n">
        <v>92</v>
      </c>
      <c r="H166" s="2" t="s">
        <v>87</v>
      </c>
      <c r="I166" s="2" t="s">
        <v>22</v>
      </c>
    </row>
    <row r="167" customFormat="false" ht="23.85" hidden="false" customHeight="false" outlineLevel="0" collapsed="false">
      <c r="A167" s="2" t="s">
        <v>358</v>
      </c>
      <c r="B167" s="3" t="n">
        <v>46020</v>
      </c>
      <c r="C167" s="4" t="s">
        <v>359</v>
      </c>
      <c r="D167" s="2" t="s">
        <v>69</v>
      </c>
      <c r="E167" s="8" t="s">
        <v>25</v>
      </c>
      <c r="F167" s="2" t="s">
        <v>109</v>
      </c>
      <c r="G167" s="6" t="n">
        <v>3191</v>
      </c>
      <c r="H167" s="2" t="s">
        <v>81</v>
      </c>
      <c r="I167" s="2" t="s">
        <v>22</v>
      </c>
    </row>
    <row r="168" customFormat="false" ht="23.85" hidden="false" customHeight="false" outlineLevel="0" collapsed="false">
      <c r="A168" s="2" t="s">
        <v>360</v>
      </c>
      <c r="B168" s="3" t="n">
        <v>46021</v>
      </c>
      <c r="C168" s="4" t="s">
        <v>135</v>
      </c>
      <c r="D168" s="2" t="s">
        <v>55</v>
      </c>
      <c r="E168" s="8" t="s">
        <v>25</v>
      </c>
      <c r="F168" s="2" t="s">
        <v>45</v>
      </c>
      <c r="G168" s="6" t="n">
        <v>3403</v>
      </c>
      <c r="H168" s="2" t="s">
        <v>66</v>
      </c>
      <c r="I168" s="2" t="s">
        <v>15</v>
      </c>
    </row>
    <row r="169" customFormat="false" ht="23.85" hidden="false" customHeight="false" outlineLevel="0" collapsed="false">
      <c r="A169" s="2" t="s">
        <v>361</v>
      </c>
      <c r="B169" s="3" t="n">
        <v>46023</v>
      </c>
      <c r="C169" s="4" t="s">
        <v>362</v>
      </c>
      <c r="D169" s="2" t="s">
        <v>11</v>
      </c>
      <c r="E169" s="7" t="s">
        <v>19</v>
      </c>
      <c r="F169" s="2" t="s">
        <v>20</v>
      </c>
      <c r="G169" s="6" t="n">
        <v>27699</v>
      </c>
      <c r="H169" s="2" t="s">
        <v>100</v>
      </c>
      <c r="I169" s="2" t="s">
        <v>22</v>
      </c>
    </row>
    <row r="170" customFormat="false" ht="23.85" hidden="false" customHeight="false" outlineLevel="0" collapsed="false">
      <c r="A170" s="2" t="s">
        <v>363</v>
      </c>
      <c r="B170" s="3" t="n">
        <v>46028</v>
      </c>
      <c r="C170" s="4" t="s">
        <v>364</v>
      </c>
      <c r="D170" s="2" t="s">
        <v>36</v>
      </c>
      <c r="E170" s="5" t="s">
        <v>12</v>
      </c>
      <c r="F170" s="2" t="s">
        <v>45</v>
      </c>
      <c r="G170" s="6" t="n">
        <v>273735</v>
      </c>
      <c r="H170" s="2" t="s">
        <v>153</v>
      </c>
      <c r="I170" s="2" t="s">
        <v>15</v>
      </c>
    </row>
    <row r="171" customFormat="false" ht="23.85" hidden="false" customHeight="false" outlineLevel="0" collapsed="false">
      <c r="A171" s="2" t="s">
        <v>365</v>
      </c>
      <c r="B171" s="3" t="n">
        <v>46039</v>
      </c>
      <c r="C171" s="4" t="s">
        <v>366</v>
      </c>
      <c r="D171" s="2" t="s">
        <v>69</v>
      </c>
      <c r="E171" s="5" t="s">
        <v>12</v>
      </c>
      <c r="F171" s="2" t="s">
        <v>109</v>
      </c>
      <c r="G171" s="6" t="n">
        <v>232624</v>
      </c>
      <c r="H171" s="2" t="s">
        <v>81</v>
      </c>
      <c r="I171" s="2" t="s">
        <v>62</v>
      </c>
    </row>
    <row r="172" customFormat="false" ht="23.85" hidden="false" customHeight="false" outlineLevel="0" collapsed="false">
      <c r="A172" s="2" t="s">
        <v>367</v>
      </c>
      <c r="B172" s="3" t="n">
        <v>46061</v>
      </c>
      <c r="C172" s="4" t="s">
        <v>368</v>
      </c>
      <c r="D172" s="2" t="s">
        <v>36</v>
      </c>
      <c r="E172" s="9" t="s">
        <v>44</v>
      </c>
      <c r="F172" s="2" t="s">
        <v>31</v>
      </c>
      <c r="G172" s="6" t="n">
        <v>3103987</v>
      </c>
      <c r="H172" s="2" t="s">
        <v>38</v>
      </c>
      <c r="I172" s="2" t="s">
        <v>15</v>
      </c>
    </row>
    <row r="173" customFormat="false" ht="23.85" hidden="false" customHeight="false" outlineLevel="0" collapsed="false">
      <c r="A173" s="2" t="s">
        <v>369</v>
      </c>
      <c r="B173" s="3" t="n">
        <v>46064</v>
      </c>
      <c r="C173" s="4" t="s">
        <v>71</v>
      </c>
      <c r="D173" s="2" t="s">
        <v>30</v>
      </c>
      <c r="E173" s="7" t="s">
        <v>19</v>
      </c>
      <c r="F173" s="2" t="s">
        <v>37</v>
      </c>
      <c r="G173" s="6" t="n">
        <v>8261</v>
      </c>
      <c r="H173" s="2" t="s">
        <v>46</v>
      </c>
      <c r="I173" s="2" t="s">
        <v>62</v>
      </c>
    </row>
    <row r="174" customFormat="false" ht="23.85" hidden="false" customHeight="false" outlineLevel="0" collapsed="false">
      <c r="A174" s="2" t="s">
        <v>370</v>
      </c>
      <c r="B174" s="3" t="n">
        <v>46083</v>
      </c>
      <c r="C174" s="4" t="s">
        <v>89</v>
      </c>
      <c r="D174" s="2" t="s">
        <v>30</v>
      </c>
      <c r="E174" s="9" t="s">
        <v>44</v>
      </c>
      <c r="F174" s="2" t="s">
        <v>65</v>
      </c>
      <c r="G174" s="6" t="n">
        <v>3445627</v>
      </c>
      <c r="H174" s="2" t="s">
        <v>32</v>
      </c>
      <c r="I174" s="2" t="s">
        <v>22</v>
      </c>
    </row>
    <row r="175" customFormat="false" ht="23.85" hidden="false" customHeight="false" outlineLevel="0" collapsed="false">
      <c r="A175" s="2" t="s">
        <v>371</v>
      </c>
      <c r="B175" s="3" t="n">
        <v>46085</v>
      </c>
      <c r="C175" s="4" t="s">
        <v>372</v>
      </c>
      <c r="D175" s="2" t="s">
        <v>49</v>
      </c>
      <c r="E175" s="8" t="s">
        <v>25</v>
      </c>
      <c r="F175" s="2" t="s">
        <v>65</v>
      </c>
      <c r="G175" s="6" t="n">
        <v>3655</v>
      </c>
      <c r="H175" s="2" t="s">
        <v>126</v>
      </c>
      <c r="I175" s="2" t="s">
        <v>33</v>
      </c>
    </row>
    <row r="176" customFormat="false" ht="23.85" hidden="false" customHeight="false" outlineLevel="0" collapsed="false">
      <c r="A176" s="2" t="s">
        <v>373</v>
      </c>
      <c r="B176" s="3" t="n">
        <v>46094</v>
      </c>
      <c r="C176" s="4" t="s">
        <v>362</v>
      </c>
      <c r="D176" s="2" t="s">
        <v>11</v>
      </c>
      <c r="E176" s="8" t="s">
        <v>25</v>
      </c>
      <c r="F176" s="2" t="s">
        <v>74</v>
      </c>
      <c r="G176" s="6" t="n">
        <v>133</v>
      </c>
      <c r="H176" s="2" t="s">
        <v>119</v>
      </c>
      <c r="I176" s="2" t="s">
        <v>15</v>
      </c>
    </row>
    <row r="177" customFormat="false" ht="23.85" hidden="false" customHeight="false" outlineLevel="0" collapsed="false">
      <c r="A177" s="2" t="s">
        <v>374</v>
      </c>
      <c r="B177" s="3" t="n">
        <v>46095</v>
      </c>
      <c r="C177" s="4" t="s">
        <v>375</v>
      </c>
      <c r="D177" s="2" t="s">
        <v>49</v>
      </c>
      <c r="E177" s="5" t="s">
        <v>12</v>
      </c>
      <c r="F177" s="2" t="s">
        <v>31</v>
      </c>
      <c r="G177" s="6" t="n">
        <v>476523</v>
      </c>
      <c r="H177" s="2" t="s">
        <v>126</v>
      </c>
      <c r="I177" s="2" t="s">
        <v>15</v>
      </c>
    </row>
    <row r="178" customFormat="false" ht="23.85" hidden="false" customHeight="false" outlineLevel="0" collapsed="false">
      <c r="A178" s="2" t="s">
        <v>376</v>
      </c>
      <c r="B178" s="3" t="n">
        <v>46096</v>
      </c>
      <c r="C178" s="4" t="s">
        <v>239</v>
      </c>
      <c r="D178" s="2" t="s">
        <v>49</v>
      </c>
      <c r="E178" s="9" t="s">
        <v>44</v>
      </c>
      <c r="F178" s="2" t="s">
        <v>84</v>
      </c>
      <c r="G178" s="6" t="n">
        <v>997326</v>
      </c>
      <c r="H178" s="2" t="s">
        <v>21</v>
      </c>
      <c r="I178" s="2" t="s">
        <v>15</v>
      </c>
    </row>
    <row r="179" customFormat="false" ht="23.85" hidden="false" customHeight="false" outlineLevel="0" collapsed="false">
      <c r="A179" s="2" t="s">
        <v>377</v>
      </c>
      <c r="B179" s="3" t="n">
        <v>46098</v>
      </c>
      <c r="C179" s="4" t="s">
        <v>54</v>
      </c>
      <c r="D179" s="2" t="s">
        <v>55</v>
      </c>
      <c r="E179" s="8" t="s">
        <v>25</v>
      </c>
      <c r="F179" s="2" t="s">
        <v>20</v>
      </c>
      <c r="G179" s="6" t="n">
        <v>3133</v>
      </c>
      <c r="H179" s="2" t="s">
        <v>61</v>
      </c>
      <c r="I179" s="2" t="s">
        <v>15</v>
      </c>
    </row>
    <row r="180" customFormat="false" ht="23.85" hidden="false" customHeight="false" outlineLevel="0" collapsed="false">
      <c r="A180" s="2" t="s">
        <v>378</v>
      </c>
      <c r="B180" s="3" t="n">
        <v>46100</v>
      </c>
      <c r="C180" s="4" t="s">
        <v>379</v>
      </c>
      <c r="D180" s="2" t="s">
        <v>11</v>
      </c>
      <c r="E180" s="7" t="s">
        <v>19</v>
      </c>
      <c r="F180" s="2" t="s">
        <v>84</v>
      </c>
      <c r="G180" s="6" t="n">
        <v>27274</v>
      </c>
      <c r="H180" s="2" t="s">
        <v>14</v>
      </c>
      <c r="I180" s="2" t="s">
        <v>15</v>
      </c>
    </row>
    <row r="181" customFormat="false" ht="23.85" hidden="false" customHeight="false" outlineLevel="0" collapsed="false">
      <c r="A181" s="2" t="s">
        <v>380</v>
      </c>
      <c r="B181" s="3" t="n">
        <v>46113</v>
      </c>
      <c r="C181" s="4" t="s">
        <v>381</v>
      </c>
      <c r="D181" s="2" t="s">
        <v>30</v>
      </c>
      <c r="E181" s="7" t="s">
        <v>19</v>
      </c>
      <c r="F181" s="2" t="s">
        <v>45</v>
      </c>
      <c r="G181" s="6" t="n">
        <v>6279</v>
      </c>
      <c r="H181" s="2" t="s">
        <v>32</v>
      </c>
      <c r="I181" s="2" t="s">
        <v>15</v>
      </c>
    </row>
    <row r="182" customFormat="false" ht="23.85" hidden="false" customHeight="false" outlineLevel="0" collapsed="false">
      <c r="A182" s="2" t="s">
        <v>382</v>
      </c>
      <c r="B182" s="3" t="n">
        <v>46115</v>
      </c>
      <c r="C182" s="4" t="s">
        <v>383</v>
      </c>
      <c r="D182" s="2" t="s">
        <v>11</v>
      </c>
      <c r="E182" s="9" t="s">
        <v>44</v>
      </c>
      <c r="F182" s="2" t="s">
        <v>45</v>
      </c>
      <c r="G182" s="6" t="n">
        <v>3568343</v>
      </c>
      <c r="H182" s="2" t="s">
        <v>119</v>
      </c>
      <c r="I182" s="2" t="s">
        <v>15</v>
      </c>
    </row>
    <row r="183" customFormat="false" ht="23.85" hidden="false" customHeight="false" outlineLevel="0" collapsed="false">
      <c r="A183" s="2" t="s">
        <v>384</v>
      </c>
      <c r="B183" s="3" t="n">
        <v>46115</v>
      </c>
      <c r="C183" s="4" t="s">
        <v>385</v>
      </c>
      <c r="D183" s="2" t="s">
        <v>69</v>
      </c>
      <c r="E183" s="7" t="s">
        <v>19</v>
      </c>
      <c r="F183" s="2" t="s">
        <v>109</v>
      </c>
      <c r="G183" s="6" t="n">
        <v>12959</v>
      </c>
      <c r="H183" s="2" t="s">
        <v>194</v>
      </c>
      <c r="I183" s="2" t="s">
        <v>27</v>
      </c>
    </row>
    <row r="184" customFormat="false" ht="23.85" hidden="false" customHeight="false" outlineLevel="0" collapsed="false">
      <c r="A184" s="2" t="s">
        <v>386</v>
      </c>
      <c r="B184" s="3" t="n">
        <v>46116</v>
      </c>
      <c r="C184" s="4" t="s">
        <v>387</v>
      </c>
      <c r="D184" s="2" t="s">
        <v>41</v>
      </c>
      <c r="E184" s="7" t="s">
        <v>19</v>
      </c>
      <c r="F184" s="2" t="s">
        <v>84</v>
      </c>
      <c r="G184" s="6" t="n">
        <v>24492</v>
      </c>
      <c r="H184" s="2" t="s">
        <v>206</v>
      </c>
      <c r="I184" s="2" t="s">
        <v>27</v>
      </c>
    </row>
    <row r="185" customFormat="false" ht="23.85" hidden="false" customHeight="false" outlineLevel="0" collapsed="false">
      <c r="A185" s="2" t="s">
        <v>388</v>
      </c>
      <c r="B185" s="3" t="n">
        <v>46118</v>
      </c>
      <c r="C185" s="4" t="s">
        <v>389</v>
      </c>
      <c r="D185" s="2" t="s">
        <v>49</v>
      </c>
      <c r="E185" s="5" t="s">
        <v>12</v>
      </c>
      <c r="F185" s="2" t="s">
        <v>84</v>
      </c>
      <c r="G185" s="6" t="n">
        <v>149829</v>
      </c>
      <c r="H185" s="2" t="s">
        <v>50</v>
      </c>
      <c r="I185" s="2" t="s">
        <v>27</v>
      </c>
    </row>
    <row r="186" customFormat="false" ht="23.85" hidden="false" customHeight="false" outlineLevel="0" collapsed="false">
      <c r="A186" s="2" t="s">
        <v>390</v>
      </c>
      <c r="B186" s="3" t="n">
        <v>46118</v>
      </c>
      <c r="C186" s="4" t="s">
        <v>10</v>
      </c>
      <c r="D186" s="2" t="s">
        <v>11</v>
      </c>
      <c r="E186" s="9" t="s">
        <v>44</v>
      </c>
      <c r="F186" s="2" t="s">
        <v>45</v>
      </c>
      <c r="G186" s="6" t="n">
        <v>565624</v>
      </c>
      <c r="H186" s="2" t="s">
        <v>14</v>
      </c>
      <c r="I186" s="2" t="s">
        <v>15</v>
      </c>
    </row>
    <row r="187" customFormat="false" ht="23.85" hidden="false" customHeight="false" outlineLevel="0" collapsed="false">
      <c r="A187" s="2" t="s">
        <v>391</v>
      </c>
      <c r="B187" s="3" t="n">
        <v>46120</v>
      </c>
      <c r="C187" s="4" t="s">
        <v>392</v>
      </c>
      <c r="D187" s="2" t="s">
        <v>55</v>
      </c>
      <c r="E187" s="7" t="s">
        <v>19</v>
      </c>
      <c r="F187" s="2" t="s">
        <v>37</v>
      </c>
      <c r="G187" s="6" t="n">
        <v>19476</v>
      </c>
      <c r="H187" s="2" t="s">
        <v>61</v>
      </c>
      <c r="I187" s="2" t="s">
        <v>15</v>
      </c>
    </row>
    <row r="188" customFormat="false" ht="23.85" hidden="false" customHeight="false" outlineLevel="0" collapsed="false">
      <c r="A188" s="2" t="s">
        <v>393</v>
      </c>
      <c r="B188" s="3" t="n">
        <v>46122</v>
      </c>
      <c r="C188" s="4" t="s">
        <v>147</v>
      </c>
      <c r="D188" s="2" t="s">
        <v>49</v>
      </c>
      <c r="E188" s="7" t="s">
        <v>19</v>
      </c>
      <c r="F188" s="2" t="s">
        <v>65</v>
      </c>
      <c r="G188" s="6" t="n">
        <v>8839</v>
      </c>
      <c r="H188" s="2" t="s">
        <v>112</v>
      </c>
      <c r="I188" s="2" t="s">
        <v>22</v>
      </c>
    </row>
    <row r="189" customFormat="false" ht="23.85" hidden="false" customHeight="false" outlineLevel="0" collapsed="false">
      <c r="A189" s="2" t="s">
        <v>394</v>
      </c>
      <c r="B189" s="3" t="n">
        <v>46128</v>
      </c>
      <c r="C189" s="4" t="s">
        <v>395</v>
      </c>
      <c r="D189" s="2" t="s">
        <v>36</v>
      </c>
      <c r="E189" s="5" t="s">
        <v>12</v>
      </c>
      <c r="F189" s="2" t="s">
        <v>13</v>
      </c>
      <c r="G189" s="6" t="n">
        <v>441016</v>
      </c>
      <c r="H189" s="2" t="s">
        <v>38</v>
      </c>
      <c r="I189" s="2" t="s">
        <v>22</v>
      </c>
    </row>
    <row r="190" customFormat="false" ht="23.85" hidden="false" customHeight="false" outlineLevel="0" collapsed="false">
      <c r="A190" s="2" t="s">
        <v>396</v>
      </c>
      <c r="B190" s="3" t="n">
        <v>46128</v>
      </c>
      <c r="C190" s="4" t="s">
        <v>397</v>
      </c>
      <c r="D190" s="2" t="s">
        <v>30</v>
      </c>
      <c r="E190" s="7" t="s">
        <v>19</v>
      </c>
      <c r="F190" s="2" t="s">
        <v>84</v>
      </c>
      <c r="G190" s="6" t="n">
        <v>28921</v>
      </c>
      <c r="H190" s="2" t="s">
        <v>46</v>
      </c>
      <c r="I190" s="2" t="s">
        <v>15</v>
      </c>
    </row>
    <row r="191" customFormat="false" ht="23.85" hidden="false" customHeight="false" outlineLevel="0" collapsed="false">
      <c r="A191" s="2" t="s">
        <v>398</v>
      </c>
      <c r="B191" s="3" t="n">
        <v>46141</v>
      </c>
      <c r="C191" s="4" t="s">
        <v>399</v>
      </c>
      <c r="D191" s="2" t="s">
        <v>18</v>
      </c>
      <c r="E191" s="8" t="s">
        <v>25</v>
      </c>
      <c r="F191" s="2" t="s">
        <v>31</v>
      </c>
      <c r="G191" s="6" t="n">
        <v>2438</v>
      </c>
      <c r="H191" s="2" t="s">
        <v>212</v>
      </c>
      <c r="I191" s="2" t="s">
        <v>22</v>
      </c>
    </row>
    <row r="192" customFormat="false" ht="23.85" hidden="false" customHeight="false" outlineLevel="0" collapsed="false">
      <c r="A192" s="2" t="s">
        <v>400</v>
      </c>
      <c r="B192" s="3" t="n">
        <v>46157</v>
      </c>
      <c r="C192" s="4" t="s">
        <v>345</v>
      </c>
      <c r="D192" s="2" t="s">
        <v>30</v>
      </c>
      <c r="E192" s="9" t="s">
        <v>44</v>
      </c>
      <c r="F192" s="2" t="s">
        <v>109</v>
      </c>
      <c r="G192" s="6" t="n">
        <v>1977236</v>
      </c>
      <c r="H192" s="2" t="s">
        <v>145</v>
      </c>
      <c r="I192" s="2" t="s">
        <v>22</v>
      </c>
    </row>
    <row r="193" customFormat="false" ht="23.85" hidden="false" customHeight="false" outlineLevel="0" collapsed="false">
      <c r="A193" s="2" t="s">
        <v>401</v>
      </c>
      <c r="B193" s="3" t="n">
        <v>46159</v>
      </c>
      <c r="C193" s="4" t="s">
        <v>402</v>
      </c>
      <c r="D193" s="2" t="s">
        <v>36</v>
      </c>
      <c r="E193" s="8" t="s">
        <v>25</v>
      </c>
      <c r="F193" s="2" t="s">
        <v>20</v>
      </c>
      <c r="G193" s="6" t="n">
        <v>397</v>
      </c>
      <c r="H193" s="2" t="s">
        <v>181</v>
      </c>
      <c r="I193" s="2" t="s">
        <v>22</v>
      </c>
    </row>
    <row r="194" customFormat="false" ht="23.85" hidden="false" customHeight="false" outlineLevel="0" collapsed="false">
      <c r="A194" s="2" t="s">
        <v>403</v>
      </c>
      <c r="B194" s="3" t="n">
        <v>46165</v>
      </c>
      <c r="C194" s="4" t="s">
        <v>404</v>
      </c>
      <c r="D194" s="2" t="s">
        <v>18</v>
      </c>
      <c r="E194" s="5" t="s">
        <v>12</v>
      </c>
      <c r="F194" s="2" t="s">
        <v>65</v>
      </c>
      <c r="G194" s="6" t="n">
        <v>314979</v>
      </c>
      <c r="H194" s="2" t="s">
        <v>158</v>
      </c>
      <c r="I194" s="2" t="s">
        <v>62</v>
      </c>
    </row>
    <row r="195" customFormat="false" ht="23.85" hidden="false" customHeight="false" outlineLevel="0" collapsed="false">
      <c r="A195" s="2" t="s">
        <v>405</v>
      </c>
      <c r="B195" s="3" t="n">
        <v>46171</v>
      </c>
      <c r="C195" s="4" t="s">
        <v>406</v>
      </c>
      <c r="D195" s="2" t="s">
        <v>55</v>
      </c>
      <c r="E195" s="5" t="s">
        <v>12</v>
      </c>
      <c r="F195" s="2" t="s">
        <v>45</v>
      </c>
      <c r="G195" s="6" t="n">
        <v>249234</v>
      </c>
      <c r="H195" s="2" t="s">
        <v>56</v>
      </c>
      <c r="I195" s="2" t="s">
        <v>22</v>
      </c>
    </row>
    <row r="196" customFormat="false" ht="23.85" hidden="false" customHeight="false" outlineLevel="0" collapsed="false">
      <c r="A196" s="2" t="s">
        <v>407</v>
      </c>
      <c r="B196" s="3" t="n">
        <v>46172</v>
      </c>
      <c r="C196" s="4" t="s">
        <v>408</v>
      </c>
      <c r="D196" s="2" t="s">
        <v>55</v>
      </c>
      <c r="E196" s="5" t="s">
        <v>12</v>
      </c>
      <c r="F196" s="2" t="s">
        <v>37</v>
      </c>
      <c r="G196" s="6" t="n">
        <v>121368</v>
      </c>
      <c r="H196" s="2" t="s">
        <v>56</v>
      </c>
      <c r="I196" s="2" t="s">
        <v>62</v>
      </c>
    </row>
    <row r="197" customFormat="false" ht="23.85" hidden="false" customHeight="false" outlineLevel="0" collapsed="false">
      <c r="A197" s="2" t="s">
        <v>409</v>
      </c>
      <c r="B197" s="3" t="n">
        <v>46179</v>
      </c>
      <c r="C197" s="4" t="s">
        <v>43</v>
      </c>
      <c r="D197" s="2" t="s">
        <v>30</v>
      </c>
      <c r="E197" s="8" t="s">
        <v>25</v>
      </c>
      <c r="F197" s="2" t="s">
        <v>13</v>
      </c>
      <c r="G197" s="6" t="n">
        <v>1079</v>
      </c>
      <c r="H197" s="2" t="s">
        <v>46</v>
      </c>
      <c r="I197" s="2" t="s">
        <v>22</v>
      </c>
    </row>
    <row r="198" customFormat="false" ht="23.85" hidden="false" customHeight="false" outlineLevel="0" collapsed="false">
      <c r="A198" s="2" t="s">
        <v>410</v>
      </c>
      <c r="B198" s="3" t="n">
        <v>46182</v>
      </c>
      <c r="C198" s="4" t="s">
        <v>362</v>
      </c>
      <c r="D198" s="2" t="s">
        <v>11</v>
      </c>
      <c r="E198" s="9" t="s">
        <v>44</v>
      </c>
      <c r="F198" s="2" t="s">
        <v>31</v>
      </c>
      <c r="G198" s="6" t="n">
        <v>2503246</v>
      </c>
      <c r="H198" s="2" t="s">
        <v>100</v>
      </c>
      <c r="I198" s="2" t="s">
        <v>62</v>
      </c>
    </row>
    <row r="199" customFormat="false" ht="23.85" hidden="false" customHeight="false" outlineLevel="0" collapsed="false">
      <c r="A199" s="2" t="s">
        <v>411</v>
      </c>
      <c r="B199" s="3" t="n">
        <v>46183</v>
      </c>
      <c r="C199" s="4" t="s">
        <v>412</v>
      </c>
      <c r="D199" s="2" t="s">
        <v>49</v>
      </c>
      <c r="E199" s="8" t="s">
        <v>25</v>
      </c>
      <c r="F199" s="2" t="s">
        <v>65</v>
      </c>
      <c r="G199" s="6" t="n">
        <v>2781</v>
      </c>
      <c r="H199" s="2" t="s">
        <v>126</v>
      </c>
      <c r="I199" s="2" t="s">
        <v>62</v>
      </c>
    </row>
    <row r="200" customFormat="false" ht="23.85" hidden="false" customHeight="false" outlineLevel="0" collapsed="false">
      <c r="A200" s="2" t="s">
        <v>413</v>
      </c>
      <c r="B200" s="3" t="n">
        <v>46186</v>
      </c>
      <c r="C200" s="4" t="s">
        <v>414</v>
      </c>
      <c r="D200" s="2" t="s">
        <v>18</v>
      </c>
      <c r="E200" s="7" t="s">
        <v>19</v>
      </c>
      <c r="F200" s="2" t="s">
        <v>84</v>
      </c>
      <c r="G200" s="6" t="n">
        <v>8371</v>
      </c>
      <c r="H200" s="2" t="s">
        <v>281</v>
      </c>
      <c r="I200" s="2" t="s">
        <v>22</v>
      </c>
    </row>
    <row r="201" customFormat="false" ht="23.85" hidden="false" customHeight="false" outlineLevel="0" collapsed="false">
      <c r="A201" s="2" t="s">
        <v>415</v>
      </c>
      <c r="B201" s="3" t="n">
        <v>46200</v>
      </c>
      <c r="C201" s="4" t="s">
        <v>252</v>
      </c>
      <c r="D201" s="2" t="s">
        <v>30</v>
      </c>
      <c r="E201" s="8" t="s">
        <v>25</v>
      </c>
      <c r="F201" s="2" t="s">
        <v>45</v>
      </c>
      <c r="G201" s="6" t="n">
        <v>1111</v>
      </c>
      <c r="H201" s="2" t="s">
        <v>32</v>
      </c>
      <c r="I201" s="2" t="s">
        <v>22</v>
      </c>
    </row>
  </sheetData>
  <autoFilter ref="A1:I2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55"/>
    <col collapsed="false" customWidth="true" hidden="false" outlineLevel="0" max="4" min="4" style="0" width="40"/>
  </cols>
  <sheetData>
    <row r="1" customFormat="false" ht="17.35" hidden="false" customHeight="false" outlineLevel="0" collapsed="false">
      <c r="A1" s="10" t="s">
        <v>416</v>
      </c>
      <c r="B1" s="10"/>
      <c r="C1" s="10"/>
      <c r="D1" s="10"/>
    </row>
    <row r="3" customFormat="false" ht="15" hidden="false" customHeight="false" outlineLevel="0" collapsed="false">
      <c r="A3" s="11" t="s">
        <v>417</v>
      </c>
      <c r="B3" s="11" t="s">
        <v>418</v>
      </c>
      <c r="C3" s="11" t="s">
        <v>2</v>
      </c>
      <c r="D3" s="11" t="s">
        <v>419</v>
      </c>
    </row>
    <row r="4" customFormat="false" ht="15" hidden="false" customHeight="false" outlineLevel="0" collapsed="false">
      <c r="A4" s="4" t="s">
        <v>0</v>
      </c>
      <c r="B4" s="4" t="s">
        <v>420</v>
      </c>
      <c r="C4" s="4" t="s">
        <v>421</v>
      </c>
      <c r="D4" s="4" t="s">
        <v>9</v>
      </c>
    </row>
    <row r="5" customFormat="false" ht="15" hidden="false" customHeight="false" outlineLevel="0" collapsed="false">
      <c r="A5" s="4" t="s">
        <v>1</v>
      </c>
      <c r="B5" s="4" t="s">
        <v>422</v>
      </c>
      <c r="C5" s="4" t="s">
        <v>423</v>
      </c>
      <c r="D5" s="4" t="s">
        <v>424</v>
      </c>
    </row>
    <row r="6" customFormat="false" ht="23.85" hidden="false" customHeight="false" outlineLevel="0" collapsed="false">
      <c r="A6" s="4" t="s">
        <v>2</v>
      </c>
      <c r="B6" s="4" t="s">
        <v>425</v>
      </c>
      <c r="C6" s="4" t="s">
        <v>426</v>
      </c>
      <c r="D6" s="4" t="s">
        <v>427</v>
      </c>
    </row>
    <row r="7" customFormat="false" ht="15" hidden="false" customHeight="false" outlineLevel="0" collapsed="false">
      <c r="A7" s="4" t="s">
        <v>3</v>
      </c>
      <c r="B7" s="4" t="s">
        <v>428</v>
      </c>
      <c r="C7" s="4" t="s">
        <v>429</v>
      </c>
      <c r="D7" s="4" t="s">
        <v>18</v>
      </c>
    </row>
    <row r="8" customFormat="false" ht="15" hidden="false" customHeight="false" outlineLevel="0" collapsed="false">
      <c r="A8" s="4" t="s">
        <v>4</v>
      </c>
      <c r="B8" s="4" t="s">
        <v>430</v>
      </c>
      <c r="C8" s="4" t="s">
        <v>431</v>
      </c>
      <c r="D8" s="4" t="s">
        <v>12</v>
      </c>
    </row>
    <row r="9" customFormat="false" ht="15" hidden="false" customHeight="false" outlineLevel="0" collapsed="false">
      <c r="A9" s="4" t="s">
        <v>5</v>
      </c>
      <c r="B9" s="4" t="s">
        <v>428</v>
      </c>
      <c r="C9" s="4" t="s">
        <v>432</v>
      </c>
      <c r="D9" s="4" t="s">
        <v>74</v>
      </c>
    </row>
    <row r="10" customFormat="false" ht="15" hidden="false" customHeight="false" outlineLevel="0" collapsed="false">
      <c r="A10" s="4" t="s">
        <v>6</v>
      </c>
      <c r="B10" s="4" t="s">
        <v>433</v>
      </c>
      <c r="C10" s="4" t="s">
        <v>434</v>
      </c>
      <c r="D10" s="4" t="s">
        <v>435</v>
      </c>
    </row>
    <row r="11" customFormat="false" ht="15" hidden="false" customHeight="false" outlineLevel="0" collapsed="false">
      <c r="A11" s="4" t="s">
        <v>7</v>
      </c>
      <c r="B11" s="4" t="s">
        <v>428</v>
      </c>
      <c r="C11" s="4" t="s">
        <v>436</v>
      </c>
      <c r="D11" s="4" t="s">
        <v>181</v>
      </c>
    </row>
    <row r="12" customFormat="false" ht="15" hidden="false" customHeight="false" outlineLevel="0" collapsed="false">
      <c r="A12" s="4" t="s">
        <v>8</v>
      </c>
      <c r="B12" s="4" t="s">
        <v>428</v>
      </c>
      <c r="C12" s="4" t="s">
        <v>437</v>
      </c>
      <c r="D12" s="4" t="s">
        <v>62</v>
      </c>
    </row>
    <row r="15" customFormat="false" ht="27.75" hidden="false" customHeight="true" outlineLevel="0" collapsed="false">
      <c r="A15" s="12" t="s">
        <v>438</v>
      </c>
      <c r="B15" s="12"/>
      <c r="C15" s="12"/>
      <c r="D15" s="12"/>
    </row>
    <row r="16" customFormat="false" ht="27.75" hidden="false" customHeight="true" outlineLevel="0" collapsed="false">
      <c r="A16" s="13" t="s">
        <v>439</v>
      </c>
      <c r="B16" s="13"/>
      <c r="C16" s="13"/>
      <c r="D16" s="13"/>
    </row>
    <row r="17" customFormat="false" ht="27.75" hidden="false" customHeight="true" outlineLevel="0" collapsed="false">
      <c r="A17" s="13" t="s">
        <v>440</v>
      </c>
      <c r="B17" s="13"/>
      <c r="C17" s="13"/>
      <c r="D17" s="13"/>
    </row>
    <row r="18" customFormat="false" ht="27.75" hidden="false" customHeight="true" outlineLevel="0" collapsed="false">
      <c r="A18" s="13" t="s">
        <v>441</v>
      </c>
      <c r="B18" s="13"/>
      <c r="C18" s="13"/>
      <c r="D18" s="13"/>
    </row>
    <row r="19" customFormat="false" ht="27.75" hidden="false" customHeight="true" outlineLevel="0" collapsed="false">
      <c r="A19" s="13" t="s">
        <v>442</v>
      </c>
      <c r="B19" s="13"/>
      <c r="C19" s="13"/>
      <c r="D19" s="13"/>
    </row>
    <row r="20" customFormat="false" ht="27.75" hidden="false" customHeight="true" outlineLevel="0" collapsed="false">
      <c r="A20" s="13" t="s">
        <v>443</v>
      </c>
      <c r="B20" s="13"/>
      <c r="C20" s="13"/>
      <c r="D20" s="13"/>
    </row>
  </sheetData>
  <mergeCells count="7">
    <mergeCell ref="A1:D1"/>
    <mergeCell ref="A15:D15"/>
    <mergeCell ref="A16:D16"/>
    <mergeCell ref="A17:D17"/>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3" min="3" style="0" width="24"/>
    <col collapsed="false" customWidth="true" hidden="false" outlineLevel="0" max="4" min="4" style="0" width="22"/>
    <col collapsed="false" customWidth="true" hidden="false" outlineLevel="0" max="5" min="5" style="0" width="20"/>
  </cols>
  <sheetData>
    <row r="1" customFormat="false" ht="17.35" hidden="false" customHeight="false" outlineLevel="0" collapsed="false">
      <c r="A1" s="10" t="s">
        <v>444</v>
      </c>
      <c r="B1" s="10"/>
      <c r="C1" s="10"/>
      <c r="D1" s="10"/>
      <c r="E1" s="10"/>
    </row>
    <row r="3" customFormat="false" ht="26.85" hidden="false" customHeight="false" outlineLevel="0" collapsed="false">
      <c r="A3" s="14" t="s">
        <v>3</v>
      </c>
      <c r="B3" s="14" t="s">
        <v>445</v>
      </c>
      <c r="C3" s="14" t="s">
        <v>446</v>
      </c>
      <c r="D3" s="14" t="s">
        <v>447</v>
      </c>
      <c r="E3" s="14" t="s">
        <v>448</v>
      </c>
    </row>
    <row r="4" customFormat="false" ht="15" hidden="false" customHeight="false" outlineLevel="0" collapsed="false">
      <c r="A4" s="15" t="s">
        <v>41</v>
      </c>
      <c r="B4" s="15" t="n">
        <f aca="false">COUNTIF(Incident_Data!$D$2:$D$201,A4)</f>
        <v>14</v>
      </c>
      <c r="C4" s="16" t="n">
        <f aca="false">ROUND(AVERAGEIF(Incident_Data!$D$2:$D$201,A4,Incident_Data!$G$2:$G$201),0)</f>
        <v>651382</v>
      </c>
      <c r="D4" s="15" t="n">
        <f aca="false">COUNTIFS(Incident_Data!$D$2:$D$201,A4,Incident_Data!$E$2:$E$201,"High")+COUNTIFS(Incident_Data!$D$2:$D$201,A4,Incident_Data!$E$2:$E$201,"Critical")</f>
        <v>9</v>
      </c>
      <c r="E4" s="17" t="n">
        <f aca="false">B4/200</f>
        <v>0.07</v>
      </c>
    </row>
    <row r="5" customFormat="false" ht="15" hidden="false" customHeight="false" outlineLevel="0" collapsed="false">
      <c r="A5" s="15" t="s">
        <v>18</v>
      </c>
      <c r="B5" s="15" t="n">
        <f aca="false">COUNTIF(Incident_Data!$D$2:$D$201,A5)</f>
        <v>20</v>
      </c>
      <c r="C5" s="16" t="n">
        <f aca="false">ROUND(AVERAGEIF(Incident_Data!$D$2:$D$201,A5,Incident_Data!$G$2:$G$201),0)</f>
        <v>255383</v>
      </c>
      <c r="D5" s="15" t="n">
        <f aca="false">COUNTIFS(Incident_Data!$D$2:$D$201,A5,Incident_Data!$E$2:$E$201,"High")+COUNTIFS(Incident_Data!$D$2:$D$201,A5,Incident_Data!$E$2:$E$201,"Critical")</f>
        <v>10</v>
      </c>
      <c r="E5" s="17" t="n">
        <f aca="false">B5/200</f>
        <v>0.1</v>
      </c>
    </row>
    <row r="6" customFormat="false" ht="15" hidden="false" customHeight="false" outlineLevel="0" collapsed="false">
      <c r="A6" s="15" t="s">
        <v>55</v>
      </c>
      <c r="B6" s="15" t="n">
        <f aca="false">COUNTIF(Incident_Data!$D$2:$D$201,A6)</f>
        <v>28</v>
      </c>
      <c r="C6" s="16" t="n">
        <f aca="false">ROUND(AVERAGEIF(Incident_Data!$D$2:$D$201,A6,Incident_Data!$G$2:$G$201),0)</f>
        <v>389128</v>
      </c>
      <c r="D6" s="15" t="n">
        <f aca="false">COUNTIFS(Incident_Data!$D$2:$D$201,A6,Incident_Data!$E$2:$E$201,"High")+COUNTIFS(Incident_Data!$D$2:$D$201,A6,Incident_Data!$E$2:$E$201,"Critical")</f>
        <v>7</v>
      </c>
      <c r="E6" s="17" t="n">
        <f aca="false">B6/200</f>
        <v>0.14</v>
      </c>
    </row>
    <row r="7" customFormat="false" ht="15" hidden="false" customHeight="false" outlineLevel="0" collapsed="false">
      <c r="A7" s="15" t="s">
        <v>30</v>
      </c>
      <c r="B7" s="15" t="n">
        <f aca="false">COUNTIF(Incident_Data!$D$2:$D$201,A7)</f>
        <v>35</v>
      </c>
      <c r="C7" s="16" t="n">
        <f aca="false">ROUND(AVERAGEIF(Incident_Data!$D$2:$D$201,A7,Incident_Data!$G$2:$G$201),0)</f>
        <v>562417</v>
      </c>
      <c r="D7" s="15" t="n">
        <f aca="false">COUNTIFS(Incident_Data!$D$2:$D$201,A7,Incident_Data!$E$2:$E$201,"High")+COUNTIFS(Incident_Data!$D$2:$D$201,A7,Incident_Data!$E$2:$E$201,"Critical")</f>
        <v>19</v>
      </c>
      <c r="E7" s="17" t="n">
        <f aca="false">B7/200</f>
        <v>0.175</v>
      </c>
    </row>
    <row r="8" customFormat="false" ht="15" hidden="false" customHeight="false" outlineLevel="0" collapsed="false">
      <c r="A8" s="15" t="s">
        <v>11</v>
      </c>
      <c r="B8" s="15" t="n">
        <f aca="false">COUNTIF(Incident_Data!$D$2:$D$201,A8)</f>
        <v>26</v>
      </c>
      <c r="C8" s="16" t="n">
        <f aca="false">ROUND(AVERAGEIF(Incident_Data!$D$2:$D$201,A8,Incident_Data!$G$2:$G$201),0)</f>
        <v>664134</v>
      </c>
      <c r="D8" s="15" t="n">
        <f aca="false">COUNTIFS(Incident_Data!$D$2:$D$201,A8,Incident_Data!$E$2:$E$201,"High")+COUNTIFS(Incident_Data!$D$2:$D$201,A8,Incident_Data!$E$2:$E$201,"Critical")</f>
        <v>14</v>
      </c>
      <c r="E8" s="17" t="n">
        <f aca="false">B8/200</f>
        <v>0.13</v>
      </c>
    </row>
    <row r="9" customFormat="false" ht="15" hidden="false" customHeight="false" outlineLevel="0" collapsed="false">
      <c r="A9" s="15" t="s">
        <v>49</v>
      </c>
      <c r="B9" s="15" t="n">
        <f aca="false">COUNTIF(Incident_Data!$D$2:$D$201,A9)</f>
        <v>30</v>
      </c>
      <c r="C9" s="16" t="n">
        <f aca="false">ROUND(AVERAGEIF(Incident_Data!$D$2:$D$201,A9,Incident_Data!$G$2:$G$201),0)</f>
        <v>338299</v>
      </c>
      <c r="D9" s="15" t="n">
        <f aca="false">COUNTIFS(Incident_Data!$D$2:$D$201,A9,Incident_Data!$E$2:$E$201,"High")+COUNTIFS(Incident_Data!$D$2:$D$201,A9,Incident_Data!$E$2:$E$201,"Critical")</f>
        <v>10</v>
      </c>
      <c r="E9" s="17" t="n">
        <f aca="false">B9/200</f>
        <v>0.15</v>
      </c>
    </row>
    <row r="10" customFormat="false" ht="15" hidden="false" customHeight="false" outlineLevel="0" collapsed="false">
      <c r="A10" s="15" t="s">
        <v>69</v>
      </c>
      <c r="B10" s="15" t="n">
        <f aca="false">COUNTIF(Incident_Data!$D$2:$D$201,A10)</f>
        <v>28</v>
      </c>
      <c r="C10" s="16" t="n">
        <f aca="false">ROUND(AVERAGEIF(Incident_Data!$D$2:$D$201,A10,Incident_Data!$G$2:$G$201),0)</f>
        <v>455738</v>
      </c>
      <c r="D10" s="15" t="n">
        <f aca="false">COUNTIFS(Incident_Data!$D$2:$D$201,A10,Incident_Data!$E$2:$E$201,"High")+COUNTIFS(Incident_Data!$D$2:$D$201,A10,Incident_Data!$E$2:$E$201,"Critical")</f>
        <v>13</v>
      </c>
      <c r="E10" s="17" t="n">
        <f aca="false">B10/200</f>
        <v>0.14</v>
      </c>
    </row>
    <row r="11" customFormat="false" ht="15" hidden="false" customHeight="false" outlineLevel="0" collapsed="false">
      <c r="A11" s="15" t="s">
        <v>36</v>
      </c>
      <c r="B11" s="15" t="n">
        <f aca="false">COUNTIF(Incident_Data!$D$2:$D$201,A11)</f>
        <v>19</v>
      </c>
      <c r="C11" s="16" t="n">
        <f aca="false">ROUND(AVERAGEIF(Incident_Data!$D$2:$D$201,A11,Incident_Data!$G$2:$G$201),0)</f>
        <v>1109866</v>
      </c>
      <c r="D11" s="15" t="n">
        <f aca="false">COUNTIFS(Incident_Data!$D$2:$D$201,A11,Incident_Data!$E$2:$E$201,"High")+COUNTIFS(Incident_Data!$D$2:$D$201,A11,Incident_Data!$E$2:$E$201,"Critical")</f>
        <v>10</v>
      </c>
      <c r="E11" s="17" t="n">
        <f aca="false">B11/200</f>
        <v>0.095</v>
      </c>
    </row>
    <row r="12" customFormat="false" ht="15" hidden="false" customHeight="false" outlineLevel="0" collapsed="false">
      <c r="A12" s="18" t="s">
        <v>449</v>
      </c>
      <c r="B12" s="18" t="n">
        <f aca="false">SUM(B4:B11)</f>
        <v>200</v>
      </c>
      <c r="C12" s="19"/>
      <c r="D12" s="19"/>
      <c r="E12" s="20" t="n">
        <f aca="false">SUM(E4:E11)</f>
        <v>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2026-07-02T02:17:32Z</dcterms:created>
  <dc:creator>openpyxl</dc:creator>
  <dc:description/>
  <dc:language>en-US</dc:language>
  <cp:lastModifiedBy/>
  <dcterms:modified xsi:type="dcterms:W3CDTF">2026-07-02T02:17:33Z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